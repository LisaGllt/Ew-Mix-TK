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agollot/Library/CloudStorage/OneDrive-Personnel/Documents/0_These/0_RepoGit/Ew-Mix-TK/data/"/>
    </mc:Choice>
  </mc:AlternateContent>
  <xr:revisionPtr revIDLastSave="0" documentId="13_ncr:1_{A4C72F3C-EF01-594E-88EE-1CA272041C27}" xr6:coauthVersionLast="47" xr6:coauthVersionMax="47" xr10:uidLastSave="{00000000-0000-0000-0000-000000000000}"/>
  <bookViews>
    <workbookView xWindow="-30800" yWindow="580" windowWidth="14400" windowHeight="9660" activeTab="1" xr2:uid="{C2C97289-876A-D64D-8FE1-EB8CA55BA769}"/>
  </bookViews>
  <sheets>
    <sheet name="Feuil1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3" i="1" l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22" i="1"/>
  <c r="C113" i="1"/>
  <c r="C114" i="1"/>
  <c r="C115" i="1"/>
  <c r="C116" i="1"/>
  <c r="C117" i="1"/>
  <c r="C118" i="1"/>
  <c r="C119" i="1"/>
  <c r="C120" i="1"/>
  <c r="C121" i="1"/>
  <c r="C112" i="1"/>
  <c r="C103" i="1"/>
  <c r="C104" i="1"/>
  <c r="C105" i="1"/>
  <c r="C106" i="1"/>
  <c r="C107" i="1"/>
  <c r="C108" i="1"/>
  <c r="C109" i="1"/>
  <c r="C110" i="1"/>
  <c r="C111" i="1"/>
  <c r="C102" i="1"/>
  <c r="C41" i="1"/>
  <c r="C47" i="1" s="1"/>
  <c r="C33" i="1"/>
  <c r="C34" i="1"/>
  <c r="C35" i="1"/>
  <c r="C36" i="1"/>
  <c r="C37" i="1"/>
  <c r="C38" i="1"/>
  <c r="C39" i="1"/>
  <c r="C40" i="1"/>
  <c r="C32" i="1"/>
  <c r="C23" i="1"/>
  <c r="C24" i="1"/>
  <c r="C25" i="1"/>
  <c r="C26" i="1"/>
  <c r="C27" i="1"/>
  <c r="C28" i="1"/>
  <c r="C29" i="1"/>
  <c r="C30" i="1"/>
  <c r="C31" i="1"/>
  <c r="C22" i="1"/>
  <c r="C13" i="1"/>
  <c r="C14" i="1"/>
  <c r="C15" i="1"/>
  <c r="C16" i="1"/>
  <c r="C17" i="1"/>
  <c r="C18" i="1"/>
  <c r="C19" i="1"/>
  <c r="C20" i="1"/>
  <c r="C21" i="1"/>
  <c r="C12" i="1"/>
  <c r="C46" i="1" l="1"/>
  <c r="C45" i="1"/>
  <c r="C42" i="1"/>
  <c r="C44" i="1"/>
  <c r="C51" i="1"/>
  <c r="C43" i="1"/>
  <c r="C50" i="1"/>
  <c r="C49" i="1"/>
  <c r="C48" i="1"/>
  <c r="C59" i="1" l="1"/>
  <c r="C60" i="1"/>
  <c r="C53" i="1"/>
  <c r="C61" i="1"/>
  <c r="C54" i="1"/>
  <c r="C52" i="1"/>
  <c r="C55" i="1"/>
  <c r="C56" i="1"/>
  <c r="C57" i="1"/>
  <c r="C58" i="1"/>
  <c r="C63" i="1" l="1"/>
  <c r="C71" i="1"/>
  <c r="C64" i="1"/>
  <c r="C62" i="1"/>
  <c r="C65" i="1"/>
  <c r="C66" i="1"/>
  <c r="C67" i="1"/>
  <c r="C68" i="1"/>
  <c r="C69" i="1"/>
  <c r="C70" i="1"/>
  <c r="C73" i="1" l="1"/>
  <c r="C74" i="1"/>
  <c r="C75" i="1"/>
  <c r="C81" i="1"/>
  <c r="C72" i="1"/>
  <c r="C76" i="1"/>
  <c r="C77" i="1"/>
  <c r="C78" i="1"/>
  <c r="C79" i="1"/>
  <c r="C80" i="1"/>
  <c r="C90" i="1" l="1"/>
  <c r="C84" i="1"/>
  <c r="C85" i="1"/>
  <c r="C86" i="1"/>
  <c r="C87" i="1"/>
  <c r="C88" i="1"/>
  <c r="C83" i="1"/>
  <c r="C91" i="1"/>
  <c r="C82" i="1"/>
  <c r="C89" i="1"/>
  <c r="C93" i="1" l="1"/>
  <c r="C101" i="1"/>
  <c r="C96" i="1"/>
  <c r="C97" i="1"/>
  <c r="C98" i="1"/>
  <c r="C100" i="1"/>
  <c r="C94" i="1"/>
  <c r="C95" i="1"/>
  <c r="C92" i="1"/>
  <c r="C99" i="1"/>
</calcChain>
</file>

<file path=xl/sharedStrings.xml><?xml version="1.0" encoding="utf-8"?>
<sst xmlns="http://schemas.openxmlformats.org/spreadsheetml/2006/main" count="154" uniqueCount="16">
  <si>
    <t>Date</t>
  </si>
  <si>
    <t>t</t>
  </si>
  <si>
    <t>Weight</t>
  </si>
  <si>
    <t>ID</t>
  </si>
  <si>
    <t>Heure</t>
  </si>
  <si>
    <t>Handling</t>
  </si>
  <si>
    <t>None</t>
  </si>
  <si>
    <t>Massaged</t>
  </si>
  <si>
    <t>-   `date` : Date of the measurement (DD-MM-YYY format)</t>
  </si>
  <si>
    <t>-   `Heure` : Hour of the measurement (HH-MM format)</t>
  </si>
  <si>
    <t>-   `t` : Number of days since the start of the experiment (range: 0-32)</t>
  </si>
  <si>
    <t>-   `ID` : Identification number of the earthworm (range: 1-10).</t>
  </si>
  <si>
    <t>-   `Weight` : Fresh weight of the earthworm (mg, range 315-817).</t>
  </si>
  <si>
    <t>-   `Handling` :</t>
  </si>
  <si>
    <t xml:space="preserve">    -   “None” : Nothing special done to the earthworm before measurement.</t>
  </si>
  <si>
    <t xml:space="preserve">    -   “Massaged” : The earthworm is gently massaged to remove the remaining of its gut content before measurement.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</si>
</sst>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2515B-A2D4-FD49-B4C9-097108838B7B}">
  <dimension ref="A1:F141"/>
  <sheetViews>
    <sheetView workbookViewId="0">
      <selection activeCell="H102" sqref="H102"/>
    </sheetView>
  </sheetViews>
  <sheetFormatPr baseColWidth="10" defaultRowHeight="16" x14ac:dyDescent="0.2"/>
  <sheetData>
    <row r="1" spans="1:6" s="3" customFormat="1" x14ac:dyDescent="0.2">
      <c r="A1" s="3" t="s">
        <v>0</v>
      </c>
      <c r="B1" s="3" t="s">
        <v>4</v>
      </c>
      <c r="C1" s="3" t="s">
        <v>1</v>
      </c>
      <c r="D1" s="3" t="s">
        <v>3</v>
      </c>
      <c r="E1" s="3" t="s">
        <v>2</v>
      </c>
      <c r="F1" s="3" t="s">
        <v>5</v>
      </c>
    </row>
    <row r="2" spans="1:6" x14ac:dyDescent="0.2">
      <c r="A2" s="1">
        <v>45916</v>
      </c>
      <c r="B2" s="2">
        <v>0.37222222222222223</v>
      </c>
      <c r="C2">
        <v>0</v>
      </c>
      <c r="D2">
        <v>1</v>
      </c>
      <c r="E2">
        <v>515</v>
      </c>
      <c r="F2" t="s">
        <v>6</v>
      </c>
    </row>
    <row r="3" spans="1:6" x14ac:dyDescent="0.2">
      <c r="A3" s="1">
        <v>45916</v>
      </c>
      <c r="B3" s="2">
        <v>0.37222222222222223</v>
      </c>
      <c r="C3">
        <v>0</v>
      </c>
      <c r="D3">
        <v>2</v>
      </c>
      <c r="E3">
        <v>376.8</v>
      </c>
      <c r="F3" t="s">
        <v>6</v>
      </c>
    </row>
    <row r="4" spans="1:6" x14ac:dyDescent="0.2">
      <c r="A4" s="1">
        <v>45916</v>
      </c>
      <c r="B4" s="2">
        <v>0.37222222222222223</v>
      </c>
      <c r="C4">
        <v>0</v>
      </c>
      <c r="D4">
        <v>3</v>
      </c>
      <c r="E4">
        <v>590.20000000000005</v>
      </c>
      <c r="F4" t="s">
        <v>6</v>
      </c>
    </row>
    <row r="5" spans="1:6" x14ac:dyDescent="0.2">
      <c r="A5" s="1">
        <v>45916</v>
      </c>
      <c r="B5" s="2">
        <v>0.37222222222222223</v>
      </c>
      <c r="C5">
        <v>0</v>
      </c>
      <c r="D5">
        <v>4</v>
      </c>
      <c r="E5">
        <v>602.70000000000005</v>
      </c>
      <c r="F5" t="s">
        <v>6</v>
      </c>
    </row>
    <row r="6" spans="1:6" x14ac:dyDescent="0.2">
      <c r="A6" s="1">
        <v>45916</v>
      </c>
      <c r="B6" s="2">
        <v>0.37222222222222223</v>
      </c>
      <c r="C6">
        <v>0</v>
      </c>
      <c r="D6">
        <v>5</v>
      </c>
      <c r="E6">
        <v>461.5</v>
      </c>
      <c r="F6" t="s">
        <v>6</v>
      </c>
    </row>
    <row r="7" spans="1:6" x14ac:dyDescent="0.2">
      <c r="A7" s="1">
        <v>45916</v>
      </c>
      <c r="B7" s="2">
        <v>0.37222222222222223</v>
      </c>
      <c r="C7">
        <v>0</v>
      </c>
      <c r="D7">
        <v>6</v>
      </c>
      <c r="E7">
        <v>452.4</v>
      </c>
      <c r="F7" t="s">
        <v>6</v>
      </c>
    </row>
    <row r="8" spans="1:6" x14ac:dyDescent="0.2">
      <c r="A8" s="1">
        <v>45916</v>
      </c>
      <c r="B8" s="2">
        <v>0.37222222222222223</v>
      </c>
      <c r="C8">
        <v>0</v>
      </c>
      <c r="D8">
        <v>7</v>
      </c>
      <c r="E8">
        <v>400.3</v>
      </c>
      <c r="F8" t="s">
        <v>6</v>
      </c>
    </row>
    <row r="9" spans="1:6" x14ac:dyDescent="0.2">
      <c r="A9" s="1">
        <v>45916</v>
      </c>
      <c r="B9" s="2">
        <v>0.37222222222222223</v>
      </c>
      <c r="C9">
        <v>0</v>
      </c>
      <c r="D9">
        <v>8</v>
      </c>
      <c r="E9">
        <v>678.2</v>
      </c>
      <c r="F9" t="s">
        <v>6</v>
      </c>
    </row>
    <row r="10" spans="1:6" x14ac:dyDescent="0.2">
      <c r="A10" s="1">
        <v>45916</v>
      </c>
      <c r="B10" s="2">
        <v>0.37222222222222223</v>
      </c>
      <c r="C10">
        <v>0</v>
      </c>
      <c r="D10">
        <v>9</v>
      </c>
      <c r="E10">
        <v>817.1</v>
      </c>
      <c r="F10" t="s">
        <v>6</v>
      </c>
    </row>
    <row r="11" spans="1:6" x14ac:dyDescent="0.2">
      <c r="A11" s="1">
        <v>45916</v>
      </c>
      <c r="B11" s="2">
        <v>0.37222222222222223</v>
      </c>
      <c r="C11">
        <v>0</v>
      </c>
      <c r="D11">
        <v>10</v>
      </c>
      <c r="E11">
        <v>436.7</v>
      </c>
      <c r="F11" t="s">
        <v>6</v>
      </c>
    </row>
    <row r="12" spans="1:6" x14ac:dyDescent="0.2">
      <c r="A12" s="1">
        <v>45916</v>
      </c>
      <c r="B12" s="2">
        <v>0.41250000000000003</v>
      </c>
      <c r="C12">
        <f>58/60</f>
        <v>0.96666666666666667</v>
      </c>
      <c r="D12">
        <v>1</v>
      </c>
      <c r="E12">
        <v>507.4</v>
      </c>
      <c r="F12" t="s">
        <v>6</v>
      </c>
    </row>
    <row r="13" spans="1:6" x14ac:dyDescent="0.2">
      <c r="A13" s="1">
        <v>45916</v>
      </c>
      <c r="B13" s="2">
        <v>0.41250000000000003</v>
      </c>
      <c r="C13">
        <f t="shared" ref="C13:C21" si="0">58/60</f>
        <v>0.96666666666666667</v>
      </c>
      <c r="D13">
        <v>2</v>
      </c>
      <c r="E13">
        <v>376.7</v>
      </c>
      <c r="F13" t="s">
        <v>6</v>
      </c>
    </row>
    <row r="14" spans="1:6" x14ac:dyDescent="0.2">
      <c r="A14" s="1">
        <v>45916</v>
      </c>
      <c r="B14" s="2">
        <v>0.41250000000000003</v>
      </c>
      <c r="C14">
        <f t="shared" si="0"/>
        <v>0.96666666666666667</v>
      </c>
      <c r="D14">
        <v>3</v>
      </c>
      <c r="E14">
        <v>589.20000000000005</v>
      </c>
      <c r="F14" t="s">
        <v>6</v>
      </c>
    </row>
    <row r="15" spans="1:6" x14ac:dyDescent="0.2">
      <c r="A15" s="1">
        <v>45916</v>
      </c>
      <c r="B15" s="2">
        <v>0.41250000000000003</v>
      </c>
      <c r="C15">
        <f t="shared" si="0"/>
        <v>0.96666666666666667</v>
      </c>
      <c r="D15">
        <v>4</v>
      </c>
      <c r="E15">
        <v>577.6</v>
      </c>
      <c r="F15" t="s">
        <v>6</v>
      </c>
    </row>
    <row r="16" spans="1:6" x14ac:dyDescent="0.2">
      <c r="A16" s="1">
        <v>45916</v>
      </c>
      <c r="B16" s="2">
        <v>0.41250000000000003</v>
      </c>
      <c r="C16">
        <f t="shared" si="0"/>
        <v>0.96666666666666667</v>
      </c>
      <c r="D16">
        <v>5</v>
      </c>
      <c r="E16">
        <v>470.5</v>
      </c>
      <c r="F16" t="s">
        <v>6</v>
      </c>
    </row>
    <row r="17" spans="1:6" x14ac:dyDescent="0.2">
      <c r="A17" s="1">
        <v>45916</v>
      </c>
      <c r="B17" s="2">
        <v>0.41250000000000003</v>
      </c>
      <c r="C17">
        <f t="shared" si="0"/>
        <v>0.96666666666666667</v>
      </c>
      <c r="D17">
        <v>6</v>
      </c>
      <c r="E17">
        <v>459.8</v>
      </c>
      <c r="F17" t="s">
        <v>6</v>
      </c>
    </row>
    <row r="18" spans="1:6" x14ac:dyDescent="0.2">
      <c r="A18" s="1">
        <v>45916</v>
      </c>
      <c r="B18" s="2">
        <v>0.41250000000000003</v>
      </c>
      <c r="C18">
        <f t="shared" si="0"/>
        <v>0.96666666666666667</v>
      </c>
      <c r="D18">
        <v>7</v>
      </c>
      <c r="E18">
        <v>412.6</v>
      </c>
      <c r="F18" t="s">
        <v>6</v>
      </c>
    </row>
    <row r="19" spans="1:6" x14ac:dyDescent="0.2">
      <c r="A19" s="1">
        <v>45916</v>
      </c>
      <c r="B19" s="2">
        <v>0.41250000000000003</v>
      </c>
      <c r="C19">
        <f t="shared" si="0"/>
        <v>0.96666666666666667</v>
      </c>
      <c r="D19">
        <v>8</v>
      </c>
      <c r="E19">
        <v>635.70000000000005</v>
      </c>
      <c r="F19" t="s">
        <v>6</v>
      </c>
    </row>
    <row r="20" spans="1:6" x14ac:dyDescent="0.2">
      <c r="A20" s="1">
        <v>45916</v>
      </c>
      <c r="B20" s="2">
        <v>0.41250000000000003</v>
      </c>
      <c r="C20">
        <f t="shared" si="0"/>
        <v>0.96666666666666667</v>
      </c>
      <c r="D20">
        <v>9</v>
      </c>
      <c r="E20">
        <v>728</v>
      </c>
      <c r="F20" t="s">
        <v>6</v>
      </c>
    </row>
    <row r="21" spans="1:6" x14ac:dyDescent="0.2">
      <c r="A21" s="1">
        <v>45916</v>
      </c>
      <c r="B21" s="2">
        <v>0.41250000000000003</v>
      </c>
      <c r="C21">
        <f t="shared" si="0"/>
        <v>0.96666666666666667</v>
      </c>
      <c r="D21">
        <v>10</v>
      </c>
      <c r="E21">
        <v>426</v>
      </c>
      <c r="F21" t="s">
        <v>6</v>
      </c>
    </row>
    <row r="22" spans="1:6" x14ac:dyDescent="0.2">
      <c r="A22" s="1">
        <v>45916</v>
      </c>
      <c r="B22" s="2">
        <v>0.45624999999999999</v>
      </c>
      <c r="C22">
        <f>1+61/60</f>
        <v>2.0166666666666666</v>
      </c>
      <c r="D22">
        <v>1</v>
      </c>
      <c r="E22">
        <v>462.8</v>
      </c>
      <c r="F22" t="s">
        <v>6</v>
      </c>
    </row>
    <row r="23" spans="1:6" x14ac:dyDescent="0.2">
      <c r="A23" s="1">
        <v>45916</v>
      </c>
      <c r="B23" s="2">
        <v>0.45624999999999999</v>
      </c>
      <c r="C23">
        <f t="shared" ref="C23:C31" si="1">1+61/60</f>
        <v>2.0166666666666666</v>
      </c>
      <c r="D23">
        <v>2</v>
      </c>
      <c r="E23">
        <v>367.3</v>
      </c>
      <c r="F23" t="s">
        <v>6</v>
      </c>
    </row>
    <row r="24" spans="1:6" x14ac:dyDescent="0.2">
      <c r="A24" s="1">
        <v>45916</v>
      </c>
      <c r="B24" s="2">
        <v>0.45624999999999999</v>
      </c>
      <c r="C24">
        <f t="shared" si="1"/>
        <v>2.0166666666666666</v>
      </c>
      <c r="D24">
        <v>3</v>
      </c>
      <c r="E24">
        <v>595.70000000000005</v>
      </c>
      <c r="F24" t="s">
        <v>6</v>
      </c>
    </row>
    <row r="25" spans="1:6" x14ac:dyDescent="0.2">
      <c r="A25" s="1">
        <v>45916</v>
      </c>
      <c r="B25" s="2">
        <v>0.45624999999999999</v>
      </c>
      <c r="C25">
        <f t="shared" si="1"/>
        <v>2.0166666666666666</v>
      </c>
      <c r="D25">
        <v>4</v>
      </c>
      <c r="E25">
        <v>543</v>
      </c>
      <c r="F25" t="s">
        <v>6</v>
      </c>
    </row>
    <row r="26" spans="1:6" x14ac:dyDescent="0.2">
      <c r="A26" s="1">
        <v>45916</v>
      </c>
      <c r="B26" s="2">
        <v>0.45624999999999999</v>
      </c>
      <c r="C26">
        <f t="shared" si="1"/>
        <v>2.0166666666666666</v>
      </c>
      <c r="D26">
        <v>5</v>
      </c>
      <c r="E26">
        <v>452</v>
      </c>
      <c r="F26" t="s">
        <v>6</v>
      </c>
    </row>
    <row r="27" spans="1:6" x14ac:dyDescent="0.2">
      <c r="A27" s="1">
        <v>45916</v>
      </c>
      <c r="B27" s="2">
        <v>0.45624999999999999</v>
      </c>
      <c r="C27">
        <f t="shared" si="1"/>
        <v>2.0166666666666666</v>
      </c>
      <c r="D27">
        <v>6</v>
      </c>
      <c r="E27">
        <v>470.5</v>
      </c>
      <c r="F27" t="s">
        <v>6</v>
      </c>
    </row>
    <row r="28" spans="1:6" x14ac:dyDescent="0.2">
      <c r="A28" s="1">
        <v>45916</v>
      </c>
      <c r="B28" s="2">
        <v>0.45624999999999999</v>
      </c>
      <c r="C28">
        <f t="shared" si="1"/>
        <v>2.0166666666666666</v>
      </c>
      <c r="D28">
        <v>7</v>
      </c>
      <c r="E28">
        <v>411.7</v>
      </c>
      <c r="F28" t="s">
        <v>6</v>
      </c>
    </row>
    <row r="29" spans="1:6" x14ac:dyDescent="0.2">
      <c r="A29" s="1">
        <v>45916</v>
      </c>
      <c r="B29" s="2">
        <v>0.45624999999999999</v>
      </c>
      <c r="C29">
        <f t="shared" si="1"/>
        <v>2.0166666666666666</v>
      </c>
      <c r="D29">
        <v>8</v>
      </c>
      <c r="E29">
        <v>637.9</v>
      </c>
      <c r="F29" t="s">
        <v>6</v>
      </c>
    </row>
    <row r="30" spans="1:6" x14ac:dyDescent="0.2">
      <c r="A30" s="1">
        <v>45916</v>
      </c>
      <c r="B30" s="2">
        <v>0.45624999999999999</v>
      </c>
      <c r="C30">
        <f t="shared" si="1"/>
        <v>2.0166666666666666</v>
      </c>
      <c r="D30">
        <v>9</v>
      </c>
      <c r="E30">
        <v>730.3</v>
      </c>
      <c r="F30" t="s">
        <v>6</v>
      </c>
    </row>
    <row r="31" spans="1:6" x14ac:dyDescent="0.2">
      <c r="A31" s="1">
        <v>45916</v>
      </c>
      <c r="B31" s="2">
        <v>0.45624999999999999</v>
      </c>
      <c r="C31">
        <f t="shared" si="1"/>
        <v>2.0166666666666666</v>
      </c>
      <c r="D31">
        <v>10</v>
      </c>
      <c r="E31">
        <v>429.1</v>
      </c>
      <c r="F31" t="s">
        <v>6</v>
      </c>
    </row>
    <row r="32" spans="1:6" x14ac:dyDescent="0.2">
      <c r="A32" s="1">
        <v>45916</v>
      </c>
      <c r="B32" s="2">
        <v>0.53819444444444442</v>
      </c>
      <c r="C32">
        <f>3+59/60</f>
        <v>3.9833333333333334</v>
      </c>
      <c r="D32">
        <v>1</v>
      </c>
      <c r="E32">
        <v>444.5</v>
      </c>
      <c r="F32" t="s">
        <v>6</v>
      </c>
    </row>
    <row r="33" spans="1:6" x14ac:dyDescent="0.2">
      <c r="A33" s="1">
        <v>45916</v>
      </c>
      <c r="B33" s="2">
        <v>0.53819444444444442</v>
      </c>
      <c r="C33">
        <f t="shared" ref="C33:C40" si="2">3+59/60</f>
        <v>3.9833333333333334</v>
      </c>
      <c r="D33">
        <v>2</v>
      </c>
      <c r="E33">
        <v>316.2</v>
      </c>
      <c r="F33" t="s">
        <v>6</v>
      </c>
    </row>
    <row r="34" spans="1:6" x14ac:dyDescent="0.2">
      <c r="A34" s="1">
        <v>45916</v>
      </c>
      <c r="B34" s="2">
        <v>0.53819444444444442</v>
      </c>
      <c r="C34">
        <f t="shared" si="2"/>
        <v>3.9833333333333334</v>
      </c>
      <c r="D34">
        <v>3</v>
      </c>
      <c r="E34">
        <v>555</v>
      </c>
      <c r="F34" t="s">
        <v>6</v>
      </c>
    </row>
    <row r="35" spans="1:6" x14ac:dyDescent="0.2">
      <c r="A35" s="1">
        <v>45916</v>
      </c>
      <c r="B35" s="2">
        <v>0.53819444444444442</v>
      </c>
      <c r="C35">
        <f t="shared" si="2"/>
        <v>3.9833333333333334</v>
      </c>
      <c r="D35">
        <v>4</v>
      </c>
      <c r="E35">
        <v>526.1</v>
      </c>
      <c r="F35" t="s">
        <v>6</v>
      </c>
    </row>
    <row r="36" spans="1:6" x14ac:dyDescent="0.2">
      <c r="A36" s="1">
        <v>45916</v>
      </c>
      <c r="B36" s="2">
        <v>0.53819444444444442</v>
      </c>
      <c r="C36">
        <f t="shared" si="2"/>
        <v>3.9833333333333334</v>
      </c>
      <c r="D36">
        <v>5</v>
      </c>
      <c r="E36">
        <v>455.7</v>
      </c>
      <c r="F36" t="s">
        <v>6</v>
      </c>
    </row>
    <row r="37" spans="1:6" x14ac:dyDescent="0.2">
      <c r="A37" s="1">
        <v>45916</v>
      </c>
      <c r="B37" s="2">
        <v>0.53819444444444442</v>
      </c>
      <c r="C37">
        <f t="shared" si="2"/>
        <v>3.9833333333333334</v>
      </c>
      <c r="D37">
        <v>6</v>
      </c>
      <c r="E37">
        <v>450.3</v>
      </c>
      <c r="F37" t="s">
        <v>6</v>
      </c>
    </row>
    <row r="38" spans="1:6" x14ac:dyDescent="0.2">
      <c r="A38" s="1">
        <v>45916</v>
      </c>
      <c r="B38" s="2">
        <v>0.53819444444444442</v>
      </c>
      <c r="C38">
        <f t="shared" si="2"/>
        <v>3.9833333333333334</v>
      </c>
      <c r="D38">
        <v>7</v>
      </c>
      <c r="E38">
        <v>395</v>
      </c>
      <c r="F38" t="s">
        <v>6</v>
      </c>
    </row>
    <row r="39" spans="1:6" x14ac:dyDescent="0.2">
      <c r="A39" s="1">
        <v>45916</v>
      </c>
      <c r="B39" s="2">
        <v>0.53819444444444442</v>
      </c>
      <c r="C39">
        <f t="shared" si="2"/>
        <v>3.9833333333333334</v>
      </c>
      <c r="D39">
        <v>8</v>
      </c>
      <c r="E39">
        <v>608.1</v>
      </c>
      <c r="F39" t="s">
        <v>6</v>
      </c>
    </row>
    <row r="40" spans="1:6" x14ac:dyDescent="0.2">
      <c r="A40" s="1">
        <v>45916</v>
      </c>
      <c r="B40" s="2">
        <v>0.53819444444444442</v>
      </c>
      <c r="C40">
        <f t="shared" si="2"/>
        <v>3.9833333333333334</v>
      </c>
      <c r="D40">
        <v>9</v>
      </c>
      <c r="E40">
        <v>706.1</v>
      </c>
      <c r="F40" t="s">
        <v>6</v>
      </c>
    </row>
    <row r="41" spans="1:6" x14ac:dyDescent="0.2">
      <c r="A41" s="1">
        <v>45916</v>
      </c>
      <c r="B41" s="2">
        <v>0.53819444444444442</v>
      </c>
      <c r="C41">
        <f>3+59/60</f>
        <v>3.9833333333333334</v>
      </c>
      <c r="D41">
        <v>10</v>
      </c>
      <c r="E41">
        <v>394.8</v>
      </c>
      <c r="F41" t="s">
        <v>6</v>
      </c>
    </row>
    <row r="42" spans="1:6" x14ac:dyDescent="0.2">
      <c r="A42" s="1">
        <v>45916</v>
      </c>
      <c r="B42" s="2">
        <v>0.60763888888888895</v>
      </c>
      <c r="C42">
        <f>$C$41+1+40/60</f>
        <v>5.65</v>
      </c>
      <c r="D42">
        <v>1</v>
      </c>
      <c r="E42">
        <v>450.2</v>
      </c>
      <c r="F42" t="s">
        <v>6</v>
      </c>
    </row>
    <row r="43" spans="1:6" x14ac:dyDescent="0.2">
      <c r="A43" s="1">
        <v>45916</v>
      </c>
      <c r="B43" s="2">
        <v>0.60763888888888895</v>
      </c>
      <c r="C43">
        <f t="shared" ref="C43:C51" si="3">$C$41+1+40/60</f>
        <v>5.65</v>
      </c>
      <c r="D43">
        <v>2</v>
      </c>
      <c r="E43">
        <v>323.3</v>
      </c>
      <c r="F43" t="s">
        <v>6</v>
      </c>
    </row>
    <row r="44" spans="1:6" x14ac:dyDescent="0.2">
      <c r="A44" s="1">
        <v>45916</v>
      </c>
      <c r="B44" s="2">
        <v>0.60763888888888895</v>
      </c>
      <c r="C44">
        <f t="shared" si="3"/>
        <v>5.65</v>
      </c>
      <c r="D44">
        <v>3</v>
      </c>
      <c r="E44">
        <v>542</v>
      </c>
      <c r="F44" t="s">
        <v>6</v>
      </c>
    </row>
    <row r="45" spans="1:6" x14ac:dyDescent="0.2">
      <c r="A45" s="1">
        <v>45916</v>
      </c>
      <c r="B45" s="2">
        <v>0.60763888888888895</v>
      </c>
      <c r="C45">
        <f t="shared" si="3"/>
        <v>5.65</v>
      </c>
      <c r="D45">
        <v>4</v>
      </c>
      <c r="E45">
        <v>507</v>
      </c>
      <c r="F45" t="s">
        <v>6</v>
      </c>
    </row>
    <row r="46" spans="1:6" x14ac:dyDescent="0.2">
      <c r="A46" s="1">
        <v>45916</v>
      </c>
      <c r="B46" s="2">
        <v>0.60763888888888895</v>
      </c>
      <c r="C46">
        <f t="shared" si="3"/>
        <v>5.65</v>
      </c>
      <c r="D46">
        <v>5</v>
      </c>
      <c r="E46">
        <v>449.9</v>
      </c>
      <c r="F46" t="s">
        <v>6</v>
      </c>
    </row>
    <row r="47" spans="1:6" x14ac:dyDescent="0.2">
      <c r="A47" s="1">
        <v>45916</v>
      </c>
      <c r="B47" s="2">
        <v>0.60763888888888895</v>
      </c>
      <c r="C47">
        <f t="shared" si="3"/>
        <v>5.65</v>
      </c>
      <c r="D47">
        <v>6</v>
      </c>
      <c r="E47">
        <v>443.1</v>
      </c>
      <c r="F47" t="s">
        <v>6</v>
      </c>
    </row>
    <row r="48" spans="1:6" x14ac:dyDescent="0.2">
      <c r="A48" s="1">
        <v>45916</v>
      </c>
      <c r="B48" s="2">
        <v>0.60763888888888895</v>
      </c>
      <c r="C48">
        <f t="shared" si="3"/>
        <v>5.65</v>
      </c>
      <c r="D48">
        <v>7</v>
      </c>
      <c r="E48">
        <v>390.4</v>
      </c>
      <c r="F48" t="s">
        <v>6</v>
      </c>
    </row>
    <row r="49" spans="1:6" x14ac:dyDescent="0.2">
      <c r="A49" s="1">
        <v>45916</v>
      </c>
      <c r="B49" s="2">
        <v>0.60763888888888895</v>
      </c>
      <c r="C49">
        <f t="shared" si="3"/>
        <v>5.65</v>
      </c>
      <c r="D49">
        <v>8</v>
      </c>
      <c r="E49">
        <v>625.20000000000005</v>
      </c>
      <c r="F49" t="s">
        <v>6</v>
      </c>
    </row>
    <row r="50" spans="1:6" x14ac:dyDescent="0.2">
      <c r="A50" s="1">
        <v>45916</v>
      </c>
      <c r="B50" s="2">
        <v>0.60763888888888895</v>
      </c>
      <c r="C50">
        <f t="shared" si="3"/>
        <v>5.65</v>
      </c>
      <c r="D50">
        <v>9</v>
      </c>
      <c r="E50">
        <v>688</v>
      </c>
      <c r="F50" t="s">
        <v>6</v>
      </c>
    </row>
    <row r="51" spans="1:6" x14ac:dyDescent="0.2">
      <c r="A51" s="1">
        <v>45916</v>
      </c>
      <c r="B51" s="2">
        <v>0.60763888888888895</v>
      </c>
      <c r="C51">
        <f t="shared" si="3"/>
        <v>5.65</v>
      </c>
      <c r="D51">
        <v>10</v>
      </c>
      <c r="E51">
        <v>399.1</v>
      </c>
      <c r="F51" t="s">
        <v>6</v>
      </c>
    </row>
    <row r="52" spans="1:6" x14ac:dyDescent="0.2">
      <c r="A52" s="1">
        <v>45916</v>
      </c>
      <c r="B52" s="2">
        <v>0.66388888888888886</v>
      </c>
      <c r="C52">
        <f>1+(56-35)/60+$C$51</f>
        <v>7</v>
      </c>
      <c r="D52">
        <v>1</v>
      </c>
      <c r="E52">
        <v>448.3</v>
      </c>
      <c r="F52" t="s">
        <v>6</v>
      </c>
    </row>
    <row r="53" spans="1:6" x14ac:dyDescent="0.2">
      <c r="A53" s="1">
        <v>45916</v>
      </c>
      <c r="B53" s="2">
        <v>0.66388888888888886</v>
      </c>
      <c r="C53">
        <f t="shared" ref="C53:C61" si="4">1+(56-35)/60+$C$51</f>
        <v>7</v>
      </c>
      <c r="D53">
        <v>2</v>
      </c>
      <c r="E53">
        <v>330.8</v>
      </c>
      <c r="F53" t="s">
        <v>6</v>
      </c>
    </row>
    <row r="54" spans="1:6" x14ac:dyDescent="0.2">
      <c r="A54" s="1">
        <v>45916</v>
      </c>
      <c r="B54" s="2">
        <v>0.66388888888888886</v>
      </c>
      <c r="C54">
        <f t="shared" si="4"/>
        <v>7</v>
      </c>
      <c r="D54">
        <v>3</v>
      </c>
      <c r="E54">
        <v>548</v>
      </c>
      <c r="F54" t="s">
        <v>6</v>
      </c>
    </row>
    <row r="55" spans="1:6" x14ac:dyDescent="0.2">
      <c r="A55" s="1">
        <v>45916</v>
      </c>
      <c r="B55" s="2">
        <v>0.66388888888888886</v>
      </c>
      <c r="C55">
        <f t="shared" si="4"/>
        <v>7</v>
      </c>
      <c r="D55">
        <v>4</v>
      </c>
      <c r="E55">
        <v>513.1</v>
      </c>
      <c r="F55" t="s">
        <v>6</v>
      </c>
    </row>
    <row r="56" spans="1:6" x14ac:dyDescent="0.2">
      <c r="A56" s="1">
        <v>45916</v>
      </c>
      <c r="B56" s="2">
        <v>0.66388888888888886</v>
      </c>
      <c r="C56">
        <f t="shared" si="4"/>
        <v>7</v>
      </c>
      <c r="D56">
        <v>5</v>
      </c>
      <c r="E56">
        <v>467.1</v>
      </c>
      <c r="F56" t="s">
        <v>6</v>
      </c>
    </row>
    <row r="57" spans="1:6" x14ac:dyDescent="0.2">
      <c r="A57" s="1">
        <v>45916</v>
      </c>
      <c r="B57" s="2">
        <v>0.66388888888888886</v>
      </c>
      <c r="C57">
        <f t="shared" si="4"/>
        <v>7</v>
      </c>
      <c r="D57">
        <v>6</v>
      </c>
      <c r="E57">
        <v>426.4</v>
      </c>
      <c r="F57" t="s">
        <v>6</v>
      </c>
    </row>
    <row r="58" spans="1:6" x14ac:dyDescent="0.2">
      <c r="A58" s="1">
        <v>45916</v>
      </c>
      <c r="B58" s="2">
        <v>0.66388888888888886</v>
      </c>
      <c r="C58">
        <f t="shared" si="4"/>
        <v>7</v>
      </c>
      <c r="D58">
        <v>7</v>
      </c>
      <c r="E58">
        <v>399.8</v>
      </c>
      <c r="F58" t="s">
        <v>6</v>
      </c>
    </row>
    <row r="59" spans="1:6" x14ac:dyDescent="0.2">
      <c r="A59" s="1">
        <v>45916</v>
      </c>
      <c r="B59" s="2">
        <v>0.66388888888888886</v>
      </c>
      <c r="C59">
        <f t="shared" si="4"/>
        <v>7</v>
      </c>
      <c r="D59">
        <v>8</v>
      </c>
      <c r="E59">
        <v>586.9</v>
      </c>
      <c r="F59" t="s">
        <v>6</v>
      </c>
    </row>
    <row r="60" spans="1:6" x14ac:dyDescent="0.2">
      <c r="A60" s="1">
        <v>45916</v>
      </c>
      <c r="B60" s="2">
        <v>0.66388888888888886</v>
      </c>
      <c r="C60">
        <f t="shared" si="4"/>
        <v>7</v>
      </c>
      <c r="D60">
        <v>9</v>
      </c>
      <c r="E60">
        <v>703.5</v>
      </c>
      <c r="F60" t="s">
        <v>6</v>
      </c>
    </row>
    <row r="61" spans="1:6" x14ac:dyDescent="0.2">
      <c r="A61" s="1">
        <v>45916</v>
      </c>
      <c r="B61" s="2">
        <v>0.66388888888888886</v>
      </c>
      <c r="C61">
        <f t="shared" si="4"/>
        <v>7</v>
      </c>
      <c r="D61">
        <v>10</v>
      </c>
      <c r="E61">
        <v>380.7</v>
      </c>
      <c r="F61" t="s">
        <v>6</v>
      </c>
    </row>
    <row r="62" spans="1:6" x14ac:dyDescent="0.2">
      <c r="A62" s="1">
        <v>45916</v>
      </c>
      <c r="B62" s="2">
        <v>0.71458333333333324</v>
      </c>
      <c r="C62">
        <f>$C$61+1+13/60</f>
        <v>8.2166666666666668</v>
      </c>
      <c r="D62">
        <v>1</v>
      </c>
      <c r="E62">
        <v>456.3</v>
      </c>
      <c r="F62" t="s">
        <v>6</v>
      </c>
    </row>
    <row r="63" spans="1:6" x14ac:dyDescent="0.2">
      <c r="A63" s="1">
        <v>45916</v>
      </c>
      <c r="B63" s="2">
        <v>0.71458333333333324</v>
      </c>
      <c r="C63">
        <f t="shared" ref="C63:C71" si="5">$C$61+1+13/60</f>
        <v>8.2166666666666668</v>
      </c>
      <c r="D63">
        <v>2</v>
      </c>
      <c r="E63">
        <v>332.1</v>
      </c>
      <c r="F63" t="s">
        <v>6</v>
      </c>
    </row>
    <row r="64" spans="1:6" x14ac:dyDescent="0.2">
      <c r="A64" s="1">
        <v>45916</v>
      </c>
      <c r="B64" s="2">
        <v>0.71458333333333324</v>
      </c>
      <c r="C64">
        <f t="shared" si="5"/>
        <v>8.2166666666666668</v>
      </c>
      <c r="D64">
        <v>3</v>
      </c>
      <c r="E64">
        <v>556.29999999999995</v>
      </c>
      <c r="F64" t="s">
        <v>6</v>
      </c>
    </row>
    <row r="65" spans="1:6" x14ac:dyDescent="0.2">
      <c r="A65" s="1">
        <v>45916</v>
      </c>
      <c r="B65" s="2">
        <v>0.71458333333333324</v>
      </c>
      <c r="C65">
        <f t="shared" si="5"/>
        <v>8.2166666666666668</v>
      </c>
      <c r="D65">
        <v>4</v>
      </c>
      <c r="E65">
        <v>511.5</v>
      </c>
      <c r="F65" t="s">
        <v>6</v>
      </c>
    </row>
    <row r="66" spans="1:6" x14ac:dyDescent="0.2">
      <c r="A66" s="1">
        <v>45916</v>
      </c>
      <c r="B66" s="2">
        <v>0.71458333333333324</v>
      </c>
      <c r="C66">
        <f t="shared" si="5"/>
        <v>8.2166666666666668</v>
      </c>
      <c r="D66">
        <v>5</v>
      </c>
      <c r="E66">
        <v>465.6</v>
      </c>
      <c r="F66" t="s">
        <v>6</v>
      </c>
    </row>
    <row r="67" spans="1:6" x14ac:dyDescent="0.2">
      <c r="A67" s="1">
        <v>45916</v>
      </c>
      <c r="B67" s="2">
        <v>0.71458333333333324</v>
      </c>
      <c r="C67">
        <f t="shared" si="5"/>
        <v>8.2166666666666668</v>
      </c>
      <c r="D67">
        <v>6</v>
      </c>
      <c r="E67">
        <v>421.1</v>
      </c>
      <c r="F67" t="s">
        <v>6</v>
      </c>
    </row>
    <row r="68" spans="1:6" x14ac:dyDescent="0.2">
      <c r="A68" s="1">
        <v>45916</v>
      </c>
      <c r="B68" s="2">
        <v>0.71458333333333324</v>
      </c>
      <c r="C68">
        <f t="shared" si="5"/>
        <v>8.2166666666666668</v>
      </c>
      <c r="D68">
        <v>7</v>
      </c>
      <c r="E68">
        <v>373.3</v>
      </c>
      <c r="F68" t="s">
        <v>6</v>
      </c>
    </row>
    <row r="69" spans="1:6" x14ac:dyDescent="0.2">
      <c r="A69" s="1">
        <v>45916</v>
      </c>
      <c r="B69" s="2">
        <v>0.71458333333333324</v>
      </c>
      <c r="C69">
        <f t="shared" si="5"/>
        <v>8.2166666666666668</v>
      </c>
      <c r="D69">
        <v>8</v>
      </c>
      <c r="E69">
        <v>591</v>
      </c>
      <c r="F69" t="s">
        <v>6</v>
      </c>
    </row>
    <row r="70" spans="1:6" x14ac:dyDescent="0.2">
      <c r="A70" s="1">
        <v>45916</v>
      </c>
      <c r="B70" s="2">
        <v>0.71458333333333324</v>
      </c>
      <c r="C70">
        <f t="shared" si="5"/>
        <v>8.2166666666666668</v>
      </c>
      <c r="D70">
        <v>9</v>
      </c>
      <c r="E70">
        <v>685.8</v>
      </c>
      <c r="F70" t="s">
        <v>6</v>
      </c>
    </row>
    <row r="71" spans="1:6" x14ac:dyDescent="0.2">
      <c r="A71" s="1">
        <v>45916</v>
      </c>
      <c r="B71" s="2">
        <v>0.71458333333333324</v>
      </c>
      <c r="C71">
        <f t="shared" si="5"/>
        <v>8.2166666666666668</v>
      </c>
      <c r="D71">
        <v>10</v>
      </c>
      <c r="E71">
        <v>383.1</v>
      </c>
      <c r="F71" t="s">
        <v>6</v>
      </c>
    </row>
    <row r="72" spans="1:6" x14ac:dyDescent="0.2">
      <c r="A72" s="1">
        <v>45916</v>
      </c>
      <c r="B72" s="2">
        <v>0.78472222222222221</v>
      </c>
      <c r="C72">
        <f>$C$71+1+41/60</f>
        <v>9.9</v>
      </c>
      <c r="D72">
        <v>1</v>
      </c>
      <c r="E72">
        <v>449.7</v>
      </c>
      <c r="F72" t="s">
        <v>6</v>
      </c>
    </row>
    <row r="73" spans="1:6" x14ac:dyDescent="0.2">
      <c r="A73" s="1">
        <v>45916</v>
      </c>
      <c r="B73" s="2">
        <v>0.78472222222222221</v>
      </c>
      <c r="C73">
        <f t="shared" ref="C73:C81" si="6">$C$71+1+41/60</f>
        <v>9.9</v>
      </c>
      <c r="D73">
        <v>2</v>
      </c>
      <c r="E73">
        <v>326.2</v>
      </c>
      <c r="F73" t="s">
        <v>6</v>
      </c>
    </row>
    <row r="74" spans="1:6" x14ac:dyDescent="0.2">
      <c r="A74" s="1">
        <v>45916</v>
      </c>
      <c r="B74" s="2">
        <v>0.78472222222222221</v>
      </c>
      <c r="C74">
        <f t="shared" si="6"/>
        <v>9.9</v>
      </c>
      <c r="D74">
        <v>3</v>
      </c>
      <c r="E74">
        <v>569</v>
      </c>
      <c r="F74" t="s">
        <v>6</v>
      </c>
    </row>
    <row r="75" spans="1:6" x14ac:dyDescent="0.2">
      <c r="A75" s="1">
        <v>45916</v>
      </c>
      <c r="B75" s="2">
        <v>0.78472222222222221</v>
      </c>
      <c r="C75">
        <f t="shared" si="6"/>
        <v>9.9</v>
      </c>
      <c r="D75">
        <v>4</v>
      </c>
      <c r="E75">
        <v>524.70000000000005</v>
      </c>
      <c r="F75" t="s">
        <v>6</v>
      </c>
    </row>
    <row r="76" spans="1:6" x14ac:dyDescent="0.2">
      <c r="A76" s="1">
        <v>45916</v>
      </c>
      <c r="B76" s="2">
        <v>0.78472222222222221</v>
      </c>
      <c r="C76">
        <f t="shared" si="6"/>
        <v>9.9</v>
      </c>
      <c r="D76">
        <v>5</v>
      </c>
      <c r="E76">
        <v>486.3</v>
      </c>
      <c r="F76" t="s">
        <v>6</v>
      </c>
    </row>
    <row r="77" spans="1:6" x14ac:dyDescent="0.2">
      <c r="A77" s="1">
        <v>45916</v>
      </c>
      <c r="B77" s="2">
        <v>0.78472222222222221</v>
      </c>
      <c r="C77">
        <f t="shared" si="6"/>
        <v>9.9</v>
      </c>
      <c r="D77">
        <v>6</v>
      </c>
      <c r="E77">
        <v>420.9</v>
      </c>
      <c r="F77" t="s">
        <v>6</v>
      </c>
    </row>
    <row r="78" spans="1:6" x14ac:dyDescent="0.2">
      <c r="A78" s="1">
        <v>45916</v>
      </c>
      <c r="B78" s="2">
        <v>0.78472222222222221</v>
      </c>
      <c r="C78">
        <f t="shared" si="6"/>
        <v>9.9</v>
      </c>
      <c r="D78">
        <v>7</v>
      </c>
      <c r="E78">
        <v>374.6</v>
      </c>
      <c r="F78" t="s">
        <v>6</v>
      </c>
    </row>
    <row r="79" spans="1:6" x14ac:dyDescent="0.2">
      <c r="A79" s="1">
        <v>45916</v>
      </c>
      <c r="B79" s="2">
        <v>0.78472222222222221</v>
      </c>
      <c r="C79">
        <f t="shared" si="6"/>
        <v>9.9</v>
      </c>
      <c r="D79">
        <v>8</v>
      </c>
      <c r="E79">
        <v>605.79999999999995</v>
      </c>
      <c r="F79" t="s">
        <v>6</v>
      </c>
    </row>
    <row r="80" spans="1:6" x14ac:dyDescent="0.2">
      <c r="A80" s="1">
        <v>45916</v>
      </c>
      <c r="B80" s="2">
        <v>0.78472222222222221</v>
      </c>
      <c r="C80">
        <f t="shared" si="6"/>
        <v>9.9</v>
      </c>
      <c r="D80">
        <v>9</v>
      </c>
      <c r="E80">
        <v>687.6</v>
      </c>
      <c r="F80" t="s">
        <v>6</v>
      </c>
    </row>
    <row r="81" spans="1:6" x14ac:dyDescent="0.2">
      <c r="A81" s="1">
        <v>45916</v>
      </c>
      <c r="B81" s="2">
        <v>0.78472222222222221</v>
      </c>
      <c r="C81">
        <f t="shared" si="6"/>
        <v>9.9</v>
      </c>
      <c r="D81">
        <v>10</v>
      </c>
      <c r="E81">
        <v>381.9</v>
      </c>
      <c r="F81" t="s">
        <v>6</v>
      </c>
    </row>
    <row r="82" spans="1:6" x14ac:dyDescent="0.2">
      <c r="A82" s="1">
        <v>45917</v>
      </c>
      <c r="B82" s="2">
        <v>0.37847222222222227</v>
      </c>
      <c r="C82">
        <f>$C$81+14+15/60</f>
        <v>24.15</v>
      </c>
      <c r="D82">
        <v>1</v>
      </c>
      <c r="E82">
        <v>429.8</v>
      </c>
      <c r="F82" t="s">
        <v>6</v>
      </c>
    </row>
    <row r="83" spans="1:6" x14ac:dyDescent="0.2">
      <c r="A83" s="1">
        <v>45917</v>
      </c>
      <c r="B83" s="2">
        <v>0.37847222222222227</v>
      </c>
      <c r="C83">
        <f t="shared" ref="C83:C91" si="7">$C$81+14+15/60</f>
        <v>24.15</v>
      </c>
      <c r="D83">
        <v>2</v>
      </c>
      <c r="E83">
        <v>330.5</v>
      </c>
      <c r="F83" t="s">
        <v>6</v>
      </c>
    </row>
    <row r="84" spans="1:6" x14ac:dyDescent="0.2">
      <c r="A84" s="1">
        <v>45917</v>
      </c>
      <c r="B84" s="2">
        <v>0.37847222222222227</v>
      </c>
      <c r="C84">
        <f t="shared" si="7"/>
        <v>24.15</v>
      </c>
      <c r="D84">
        <v>3</v>
      </c>
      <c r="E84">
        <v>587.70000000000005</v>
      </c>
      <c r="F84" t="s">
        <v>6</v>
      </c>
    </row>
    <row r="85" spans="1:6" x14ac:dyDescent="0.2">
      <c r="A85" s="1">
        <v>45917</v>
      </c>
      <c r="B85" s="2">
        <v>0.37847222222222227</v>
      </c>
      <c r="C85">
        <f t="shared" si="7"/>
        <v>24.15</v>
      </c>
      <c r="D85">
        <v>4</v>
      </c>
      <c r="E85">
        <v>509.4</v>
      </c>
      <c r="F85" t="s">
        <v>6</v>
      </c>
    </row>
    <row r="86" spans="1:6" x14ac:dyDescent="0.2">
      <c r="A86" s="1">
        <v>45917</v>
      </c>
      <c r="B86" s="2">
        <v>0.37847222222222227</v>
      </c>
      <c r="C86">
        <f t="shared" si="7"/>
        <v>24.15</v>
      </c>
      <c r="D86">
        <v>5</v>
      </c>
      <c r="E86">
        <v>466.6</v>
      </c>
      <c r="F86" t="s">
        <v>6</v>
      </c>
    </row>
    <row r="87" spans="1:6" x14ac:dyDescent="0.2">
      <c r="A87" s="1">
        <v>45917</v>
      </c>
      <c r="B87" s="2">
        <v>0.37847222222222227</v>
      </c>
      <c r="C87">
        <f t="shared" si="7"/>
        <v>24.15</v>
      </c>
      <c r="D87">
        <v>6</v>
      </c>
      <c r="E87">
        <v>402.6</v>
      </c>
      <c r="F87" t="s">
        <v>6</v>
      </c>
    </row>
    <row r="88" spans="1:6" x14ac:dyDescent="0.2">
      <c r="A88" s="1">
        <v>45917</v>
      </c>
      <c r="B88" s="2">
        <v>0.37847222222222227</v>
      </c>
      <c r="C88">
        <f t="shared" si="7"/>
        <v>24.15</v>
      </c>
      <c r="D88">
        <v>7</v>
      </c>
      <c r="E88">
        <v>365.2</v>
      </c>
      <c r="F88" t="s">
        <v>6</v>
      </c>
    </row>
    <row r="89" spans="1:6" x14ac:dyDescent="0.2">
      <c r="A89" s="1">
        <v>45917</v>
      </c>
      <c r="B89" s="2">
        <v>0.37847222222222227</v>
      </c>
      <c r="C89">
        <f t="shared" si="7"/>
        <v>24.15</v>
      </c>
      <c r="D89">
        <v>8</v>
      </c>
      <c r="E89">
        <v>571.5</v>
      </c>
      <c r="F89" t="s">
        <v>6</v>
      </c>
    </row>
    <row r="90" spans="1:6" x14ac:dyDescent="0.2">
      <c r="A90" s="1">
        <v>45917</v>
      </c>
      <c r="B90" s="2">
        <v>0.37847222222222227</v>
      </c>
      <c r="C90">
        <f t="shared" si="7"/>
        <v>24.15</v>
      </c>
      <c r="D90">
        <v>9</v>
      </c>
      <c r="E90">
        <v>672.1</v>
      </c>
      <c r="F90" t="s">
        <v>6</v>
      </c>
    </row>
    <row r="91" spans="1:6" x14ac:dyDescent="0.2">
      <c r="A91" s="1">
        <v>45917</v>
      </c>
      <c r="B91" s="2">
        <v>0.37847222222222227</v>
      </c>
      <c r="C91">
        <f t="shared" si="7"/>
        <v>24.15</v>
      </c>
      <c r="D91">
        <v>10</v>
      </c>
      <c r="E91">
        <v>354.9</v>
      </c>
      <c r="F91" t="s">
        <v>6</v>
      </c>
    </row>
    <row r="92" spans="1:6" x14ac:dyDescent="0.2">
      <c r="A92" s="1">
        <v>45917</v>
      </c>
      <c r="B92" s="2">
        <v>0.46666666666666662</v>
      </c>
      <c r="C92">
        <f>$C$82+2+7/60</f>
        <v>26.266666666666666</v>
      </c>
      <c r="D92">
        <v>1</v>
      </c>
      <c r="E92">
        <v>429.7</v>
      </c>
      <c r="F92" t="s">
        <v>6</v>
      </c>
    </row>
    <row r="93" spans="1:6" x14ac:dyDescent="0.2">
      <c r="A93" s="1">
        <v>45917</v>
      </c>
      <c r="B93" s="2">
        <v>0.46666666666666662</v>
      </c>
      <c r="C93">
        <f t="shared" ref="C93:C101" si="8">$C$82+2+7/60</f>
        <v>26.266666666666666</v>
      </c>
      <c r="D93">
        <v>2</v>
      </c>
      <c r="E93">
        <v>326.10000000000002</v>
      </c>
      <c r="F93" t="s">
        <v>6</v>
      </c>
    </row>
    <row r="94" spans="1:6" x14ac:dyDescent="0.2">
      <c r="A94" s="1">
        <v>45917</v>
      </c>
      <c r="B94" s="2">
        <v>0.46666666666666662</v>
      </c>
      <c r="C94">
        <f t="shared" si="8"/>
        <v>26.266666666666666</v>
      </c>
      <c r="D94">
        <v>3</v>
      </c>
      <c r="E94">
        <v>574.70000000000005</v>
      </c>
      <c r="F94" t="s">
        <v>6</v>
      </c>
    </row>
    <row r="95" spans="1:6" x14ac:dyDescent="0.2">
      <c r="A95" s="1">
        <v>45917</v>
      </c>
      <c r="B95" s="2">
        <v>0.46666666666666662</v>
      </c>
      <c r="C95">
        <f t="shared" si="8"/>
        <v>26.266666666666666</v>
      </c>
      <c r="D95">
        <v>4</v>
      </c>
      <c r="E95">
        <v>492.8</v>
      </c>
      <c r="F95" t="s">
        <v>6</v>
      </c>
    </row>
    <row r="96" spans="1:6" x14ac:dyDescent="0.2">
      <c r="A96" s="1">
        <v>45917</v>
      </c>
      <c r="B96" s="2">
        <v>0.46666666666666662</v>
      </c>
      <c r="C96">
        <f t="shared" si="8"/>
        <v>26.266666666666666</v>
      </c>
      <c r="D96">
        <v>5</v>
      </c>
      <c r="E96">
        <v>466.4</v>
      </c>
      <c r="F96" t="s">
        <v>6</v>
      </c>
    </row>
    <row r="97" spans="1:6" x14ac:dyDescent="0.2">
      <c r="A97" s="1">
        <v>45917</v>
      </c>
      <c r="B97" s="2">
        <v>0.46666666666666662</v>
      </c>
      <c r="C97">
        <f t="shared" si="8"/>
        <v>26.266666666666666</v>
      </c>
      <c r="D97">
        <v>6</v>
      </c>
      <c r="E97">
        <v>386.8</v>
      </c>
      <c r="F97" t="s">
        <v>6</v>
      </c>
    </row>
    <row r="98" spans="1:6" x14ac:dyDescent="0.2">
      <c r="A98" s="1">
        <v>45917</v>
      </c>
      <c r="B98" s="2">
        <v>0.46666666666666662</v>
      </c>
      <c r="C98">
        <f t="shared" si="8"/>
        <v>26.266666666666666</v>
      </c>
      <c r="D98">
        <v>7</v>
      </c>
      <c r="E98">
        <v>350.5</v>
      </c>
      <c r="F98" t="s">
        <v>6</v>
      </c>
    </row>
    <row r="99" spans="1:6" x14ac:dyDescent="0.2">
      <c r="A99" s="1">
        <v>45917</v>
      </c>
      <c r="B99" s="2">
        <v>0.46666666666666662</v>
      </c>
      <c r="C99">
        <f t="shared" si="8"/>
        <v>26.266666666666666</v>
      </c>
      <c r="D99">
        <v>8</v>
      </c>
      <c r="E99">
        <v>567.4</v>
      </c>
      <c r="F99" t="s">
        <v>6</v>
      </c>
    </row>
    <row r="100" spans="1:6" x14ac:dyDescent="0.2">
      <c r="A100" s="1">
        <v>45917</v>
      </c>
      <c r="B100" s="2">
        <v>0.46666666666666662</v>
      </c>
      <c r="C100">
        <f t="shared" si="8"/>
        <v>26.266666666666666</v>
      </c>
      <c r="D100">
        <v>9</v>
      </c>
      <c r="E100">
        <v>634.70000000000005</v>
      </c>
      <c r="F100" t="s">
        <v>6</v>
      </c>
    </row>
    <row r="101" spans="1:6" x14ac:dyDescent="0.2">
      <c r="A101" s="1">
        <v>45917</v>
      </c>
      <c r="B101" s="2">
        <v>0.46666666666666662</v>
      </c>
      <c r="C101">
        <f t="shared" si="8"/>
        <v>26.266666666666666</v>
      </c>
      <c r="D101">
        <v>10</v>
      </c>
      <c r="E101">
        <v>353</v>
      </c>
      <c r="F101" t="s">
        <v>6</v>
      </c>
    </row>
    <row r="102" spans="1:6" x14ac:dyDescent="0.2">
      <c r="A102" s="1">
        <v>45917</v>
      </c>
      <c r="B102" s="2">
        <v>0.5625</v>
      </c>
      <c r="C102">
        <f>$C$101+2+18/60</f>
        <v>28.566666666666666</v>
      </c>
      <c r="D102">
        <v>1</v>
      </c>
      <c r="E102">
        <v>414.6</v>
      </c>
      <c r="F102" t="s">
        <v>6</v>
      </c>
    </row>
    <row r="103" spans="1:6" x14ac:dyDescent="0.2">
      <c r="A103" s="1">
        <v>45917</v>
      </c>
      <c r="B103" s="2">
        <v>0.5625</v>
      </c>
      <c r="C103">
        <f t="shared" ref="C103:C111" si="9">$C$101+2+18/60</f>
        <v>28.566666666666666</v>
      </c>
      <c r="D103">
        <v>2</v>
      </c>
      <c r="E103">
        <v>323.60000000000002</v>
      </c>
      <c r="F103" t="s">
        <v>6</v>
      </c>
    </row>
    <row r="104" spans="1:6" x14ac:dyDescent="0.2">
      <c r="A104" s="1">
        <v>45917</v>
      </c>
      <c r="B104" s="2">
        <v>0.5625</v>
      </c>
      <c r="C104">
        <f t="shared" si="9"/>
        <v>28.566666666666666</v>
      </c>
      <c r="D104">
        <v>3</v>
      </c>
      <c r="E104">
        <v>569.70000000000005</v>
      </c>
      <c r="F104" t="s">
        <v>6</v>
      </c>
    </row>
    <row r="105" spans="1:6" x14ac:dyDescent="0.2">
      <c r="A105" s="1">
        <v>45917</v>
      </c>
      <c r="B105" s="2">
        <v>0.5625</v>
      </c>
      <c r="C105">
        <f t="shared" si="9"/>
        <v>28.566666666666666</v>
      </c>
      <c r="D105">
        <v>4</v>
      </c>
      <c r="E105">
        <v>506.5</v>
      </c>
      <c r="F105" t="s">
        <v>6</v>
      </c>
    </row>
    <row r="106" spans="1:6" x14ac:dyDescent="0.2">
      <c r="A106" s="1">
        <v>45917</v>
      </c>
      <c r="B106" s="2">
        <v>0.5625</v>
      </c>
      <c r="C106">
        <f t="shared" si="9"/>
        <v>28.566666666666666</v>
      </c>
      <c r="D106">
        <v>5</v>
      </c>
      <c r="E106">
        <v>465</v>
      </c>
      <c r="F106" t="s">
        <v>6</v>
      </c>
    </row>
    <row r="107" spans="1:6" x14ac:dyDescent="0.2">
      <c r="A107" s="1">
        <v>45917</v>
      </c>
      <c r="B107" s="2">
        <v>0.5625</v>
      </c>
      <c r="C107">
        <f t="shared" si="9"/>
        <v>28.566666666666666</v>
      </c>
      <c r="D107">
        <v>6</v>
      </c>
      <c r="E107">
        <v>391.6</v>
      </c>
      <c r="F107" t="s">
        <v>6</v>
      </c>
    </row>
    <row r="108" spans="1:6" x14ac:dyDescent="0.2">
      <c r="A108" s="1">
        <v>45917</v>
      </c>
      <c r="B108" s="2">
        <v>0.5625</v>
      </c>
      <c r="C108">
        <f t="shared" si="9"/>
        <v>28.566666666666666</v>
      </c>
      <c r="D108">
        <v>7</v>
      </c>
      <c r="E108">
        <v>349.3</v>
      </c>
      <c r="F108" t="s">
        <v>6</v>
      </c>
    </row>
    <row r="109" spans="1:6" x14ac:dyDescent="0.2">
      <c r="A109" s="1">
        <v>45917</v>
      </c>
      <c r="B109" s="2">
        <v>0.5625</v>
      </c>
      <c r="C109">
        <f t="shared" si="9"/>
        <v>28.566666666666666</v>
      </c>
      <c r="D109">
        <v>8</v>
      </c>
      <c r="E109">
        <v>577.79999999999995</v>
      </c>
      <c r="F109" t="s">
        <v>6</v>
      </c>
    </row>
    <row r="110" spans="1:6" x14ac:dyDescent="0.2">
      <c r="A110" s="1">
        <v>45917</v>
      </c>
      <c r="B110" s="2">
        <v>0.5625</v>
      </c>
      <c r="C110">
        <f t="shared" si="9"/>
        <v>28.566666666666666</v>
      </c>
      <c r="D110">
        <v>9</v>
      </c>
      <c r="E110">
        <v>636.5</v>
      </c>
      <c r="F110" t="s">
        <v>6</v>
      </c>
    </row>
    <row r="111" spans="1:6" x14ac:dyDescent="0.2">
      <c r="A111" s="1">
        <v>45917</v>
      </c>
      <c r="B111" s="2">
        <v>0.5625</v>
      </c>
      <c r="C111">
        <f t="shared" si="9"/>
        <v>28.566666666666666</v>
      </c>
      <c r="D111">
        <v>10</v>
      </c>
      <c r="E111">
        <v>363</v>
      </c>
      <c r="F111" t="s">
        <v>6</v>
      </c>
    </row>
    <row r="112" spans="1:6" x14ac:dyDescent="0.2">
      <c r="A112" s="1">
        <v>45917</v>
      </c>
      <c r="B112" s="2">
        <v>0.625</v>
      </c>
      <c r="C112">
        <f>$C$111+1.5</f>
        <v>30.066666666666666</v>
      </c>
      <c r="D112">
        <v>1</v>
      </c>
      <c r="E112">
        <v>408.5</v>
      </c>
      <c r="F112" t="s">
        <v>6</v>
      </c>
    </row>
    <row r="113" spans="1:6" x14ac:dyDescent="0.2">
      <c r="A113" s="1">
        <v>45917</v>
      </c>
      <c r="B113" s="2">
        <v>0.625</v>
      </c>
      <c r="C113">
        <f t="shared" ref="C113:C121" si="10">$C$111+1.5</f>
        <v>30.066666666666666</v>
      </c>
      <c r="D113">
        <v>2</v>
      </c>
      <c r="E113">
        <v>315.60000000000002</v>
      </c>
      <c r="F113" t="s">
        <v>6</v>
      </c>
    </row>
    <row r="114" spans="1:6" x14ac:dyDescent="0.2">
      <c r="A114" s="1">
        <v>45917</v>
      </c>
      <c r="B114" s="2">
        <v>0.625</v>
      </c>
      <c r="C114">
        <f t="shared" si="10"/>
        <v>30.066666666666666</v>
      </c>
      <c r="D114">
        <v>3</v>
      </c>
      <c r="E114">
        <v>555.70000000000005</v>
      </c>
      <c r="F114" t="s">
        <v>6</v>
      </c>
    </row>
    <row r="115" spans="1:6" x14ac:dyDescent="0.2">
      <c r="A115" s="1">
        <v>45917</v>
      </c>
      <c r="B115" s="2">
        <v>0.625</v>
      </c>
      <c r="C115">
        <f t="shared" si="10"/>
        <v>30.066666666666666</v>
      </c>
      <c r="D115">
        <v>4</v>
      </c>
      <c r="E115">
        <v>498.4</v>
      </c>
      <c r="F115" t="s">
        <v>6</v>
      </c>
    </row>
    <row r="116" spans="1:6" x14ac:dyDescent="0.2">
      <c r="A116" s="1">
        <v>45917</v>
      </c>
      <c r="B116" s="2">
        <v>0.625</v>
      </c>
      <c r="C116">
        <f t="shared" si="10"/>
        <v>30.066666666666666</v>
      </c>
      <c r="D116">
        <v>5</v>
      </c>
      <c r="E116">
        <v>471.7</v>
      </c>
      <c r="F116" t="s">
        <v>6</v>
      </c>
    </row>
    <row r="117" spans="1:6" x14ac:dyDescent="0.2">
      <c r="A117" s="1">
        <v>45917</v>
      </c>
      <c r="B117" s="2">
        <v>0.625</v>
      </c>
      <c r="C117">
        <f t="shared" si="10"/>
        <v>30.066666666666666</v>
      </c>
      <c r="D117">
        <v>6</v>
      </c>
      <c r="E117">
        <v>389.7</v>
      </c>
      <c r="F117" t="s">
        <v>6</v>
      </c>
    </row>
    <row r="118" spans="1:6" x14ac:dyDescent="0.2">
      <c r="A118" s="1">
        <v>45917</v>
      </c>
      <c r="B118" s="2">
        <v>0.625</v>
      </c>
      <c r="C118">
        <f t="shared" si="10"/>
        <v>30.066666666666666</v>
      </c>
      <c r="D118">
        <v>7</v>
      </c>
      <c r="E118">
        <v>349.6</v>
      </c>
      <c r="F118" t="s">
        <v>6</v>
      </c>
    </row>
    <row r="119" spans="1:6" x14ac:dyDescent="0.2">
      <c r="A119" s="1">
        <v>45917</v>
      </c>
      <c r="B119" s="2">
        <v>0.625</v>
      </c>
      <c r="C119">
        <f t="shared" si="10"/>
        <v>30.066666666666666</v>
      </c>
      <c r="D119">
        <v>8</v>
      </c>
      <c r="E119">
        <v>588</v>
      </c>
      <c r="F119" t="s">
        <v>6</v>
      </c>
    </row>
    <row r="120" spans="1:6" x14ac:dyDescent="0.2">
      <c r="A120" s="1">
        <v>45917</v>
      </c>
      <c r="B120" s="2">
        <v>0.625</v>
      </c>
      <c r="C120">
        <f t="shared" si="10"/>
        <v>30.066666666666666</v>
      </c>
      <c r="D120">
        <v>9</v>
      </c>
      <c r="E120">
        <v>637.4</v>
      </c>
      <c r="F120" t="s">
        <v>6</v>
      </c>
    </row>
    <row r="121" spans="1:6" x14ac:dyDescent="0.2">
      <c r="A121" s="1">
        <v>45917</v>
      </c>
      <c r="B121" s="2">
        <v>0.625</v>
      </c>
      <c r="C121">
        <f t="shared" si="10"/>
        <v>30.066666666666666</v>
      </c>
      <c r="D121">
        <v>10</v>
      </c>
      <c r="E121">
        <v>366.4</v>
      </c>
      <c r="F121" t="s">
        <v>6</v>
      </c>
    </row>
    <row r="122" spans="1:6" x14ac:dyDescent="0.2">
      <c r="A122" s="1">
        <v>45917</v>
      </c>
      <c r="B122" s="2">
        <v>0.70833333333333337</v>
      </c>
      <c r="C122">
        <f>$C$121+2</f>
        <v>32.066666666666663</v>
      </c>
      <c r="D122">
        <v>1</v>
      </c>
      <c r="E122">
        <v>412.4</v>
      </c>
      <c r="F122" t="s">
        <v>6</v>
      </c>
    </row>
    <row r="123" spans="1:6" x14ac:dyDescent="0.2">
      <c r="A123" s="1">
        <v>45917</v>
      </c>
      <c r="B123" s="2">
        <v>0.70833333333333337</v>
      </c>
      <c r="C123">
        <f t="shared" ref="C123:C141" si="11">$C$121+2</f>
        <v>32.066666666666663</v>
      </c>
      <c r="D123">
        <v>2</v>
      </c>
      <c r="E123">
        <v>332.8</v>
      </c>
      <c r="F123" t="s">
        <v>6</v>
      </c>
    </row>
    <row r="124" spans="1:6" x14ac:dyDescent="0.2">
      <c r="A124" s="1">
        <v>45917</v>
      </c>
      <c r="B124" s="2">
        <v>0.70833333333333337</v>
      </c>
      <c r="C124">
        <f t="shared" si="11"/>
        <v>32.066666666666663</v>
      </c>
      <c r="D124">
        <v>3</v>
      </c>
      <c r="E124">
        <v>551.4</v>
      </c>
      <c r="F124" t="s">
        <v>6</v>
      </c>
    </row>
    <row r="125" spans="1:6" x14ac:dyDescent="0.2">
      <c r="A125" s="1">
        <v>45917</v>
      </c>
      <c r="B125" s="2">
        <v>0.70833333333333337</v>
      </c>
      <c r="C125">
        <f t="shared" si="11"/>
        <v>32.066666666666663</v>
      </c>
      <c r="D125">
        <v>4</v>
      </c>
      <c r="E125">
        <v>512.20000000000005</v>
      </c>
      <c r="F125" t="s">
        <v>6</v>
      </c>
    </row>
    <row r="126" spans="1:6" x14ac:dyDescent="0.2">
      <c r="A126" s="1">
        <v>45917</v>
      </c>
      <c r="B126" s="2">
        <v>0.70833333333333337</v>
      </c>
      <c r="C126">
        <f t="shared" si="11"/>
        <v>32.066666666666663</v>
      </c>
      <c r="D126">
        <v>5</v>
      </c>
      <c r="E126">
        <v>468.7</v>
      </c>
      <c r="F126" t="s">
        <v>6</v>
      </c>
    </row>
    <row r="127" spans="1:6" x14ac:dyDescent="0.2">
      <c r="A127" s="1">
        <v>45917</v>
      </c>
      <c r="B127" s="2">
        <v>0.70833333333333337</v>
      </c>
      <c r="C127">
        <f t="shared" si="11"/>
        <v>32.066666666666663</v>
      </c>
      <c r="D127">
        <v>6</v>
      </c>
      <c r="E127">
        <v>383</v>
      </c>
      <c r="F127" t="s">
        <v>6</v>
      </c>
    </row>
    <row r="128" spans="1:6" x14ac:dyDescent="0.2">
      <c r="A128" s="1">
        <v>45917</v>
      </c>
      <c r="B128" s="2">
        <v>0.70833333333333337</v>
      </c>
      <c r="C128">
        <f t="shared" si="11"/>
        <v>32.066666666666663</v>
      </c>
      <c r="D128">
        <v>7</v>
      </c>
      <c r="E128">
        <v>349.2</v>
      </c>
      <c r="F128" t="s">
        <v>6</v>
      </c>
    </row>
    <row r="129" spans="1:6" x14ac:dyDescent="0.2">
      <c r="A129" s="1">
        <v>45917</v>
      </c>
      <c r="B129" s="2">
        <v>0.70833333333333337</v>
      </c>
      <c r="C129">
        <f t="shared" si="11"/>
        <v>32.066666666666663</v>
      </c>
      <c r="D129">
        <v>8</v>
      </c>
      <c r="E129">
        <v>584.6</v>
      </c>
      <c r="F129" t="s">
        <v>6</v>
      </c>
    </row>
    <row r="130" spans="1:6" x14ac:dyDescent="0.2">
      <c r="A130" s="1">
        <v>45917</v>
      </c>
      <c r="B130" s="2">
        <v>0.70833333333333337</v>
      </c>
      <c r="C130">
        <f t="shared" si="11"/>
        <v>32.066666666666663</v>
      </c>
      <c r="D130">
        <v>9</v>
      </c>
      <c r="E130">
        <v>640.5</v>
      </c>
      <c r="F130" t="s">
        <v>6</v>
      </c>
    </row>
    <row r="131" spans="1:6" x14ac:dyDescent="0.2">
      <c r="A131" s="1">
        <v>45917</v>
      </c>
      <c r="B131" s="2">
        <v>0.70833333333333337</v>
      </c>
      <c r="C131">
        <f t="shared" si="11"/>
        <v>32.066666666666663</v>
      </c>
      <c r="D131">
        <v>10</v>
      </c>
      <c r="E131">
        <v>376.8</v>
      </c>
      <c r="F131" t="s">
        <v>6</v>
      </c>
    </row>
    <row r="132" spans="1:6" x14ac:dyDescent="0.2">
      <c r="A132" s="1">
        <v>45917</v>
      </c>
      <c r="B132" s="2">
        <v>0.70833333333333337</v>
      </c>
      <c r="C132">
        <f t="shared" si="11"/>
        <v>32.066666666666663</v>
      </c>
      <c r="D132">
        <v>1</v>
      </c>
      <c r="E132">
        <v>397.5</v>
      </c>
      <c r="F132" t="s">
        <v>7</v>
      </c>
    </row>
    <row r="133" spans="1:6" x14ac:dyDescent="0.2">
      <c r="A133" s="1">
        <v>45917</v>
      </c>
      <c r="B133" s="2">
        <v>0.70833333333333337</v>
      </c>
      <c r="C133">
        <f t="shared" si="11"/>
        <v>32.066666666666663</v>
      </c>
      <c r="D133">
        <v>2</v>
      </c>
      <c r="E133">
        <v>316.3</v>
      </c>
      <c r="F133" t="s">
        <v>7</v>
      </c>
    </row>
    <row r="134" spans="1:6" x14ac:dyDescent="0.2">
      <c r="A134" s="1">
        <v>45917</v>
      </c>
      <c r="B134" s="2">
        <v>0.70833333333333337</v>
      </c>
      <c r="C134">
        <f t="shared" si="11"/>
        <v>32.066666666666663</v>
      </c>
      <c r="D134">
        <v>3</v>
      </c>
      <c r="E134">
        <v>538.6</v>
      </c>
      <c r="F134" t="s">
        <v>7</v>
      </c>
    </row>
    <row r="135" spans="1:6" x14ac:dyDescent="0.2">
      <c r="A135" s="1">
        <v>45917</v>
      </c>
      <c r="B135" s="2">
        <v>0.70833333333333337</v>
      </c>
      <c r="C135">
        <f t="shared" si="11"/>
        <v>32.066666666666663</v>
      </c>
      <c r="D135">
        <v>4</v>
      </c>
      <c r="E135">
        <v>491.7</v>
      </c>
      <c r="F135" t="s">
        <v>7</v>
      </c>
    </row>
    <row r="136" spans="1:6" x14ac:dyDescent="0.2">
      <c r="A136" s="1">
        <v>45917</v>
      </c>
      <c r="B136" s="2">
        <v>0.70833333333333337</v>
      </c>
      <c r="C136">
        <f t="shared" si="11"/>
        <v>32.066666666666663</v>
      </c>
      <c r="D136">
        <v>5</v>
      </c>
      <c r="E136">
        <v>430.6</v>
      </c>
      <c r="F136" t="s">
        <v>7</v>
      </c>
    </row>
    <row r="137" spans="1:6" x14ac:dyDescent="0.2">
      <c r="A137" s="1">
        <v>45917</v>
      </c>
      <c r="B137" s="2">
        <v>0.70833333333333337</v>
      </c>
      <c r="C137">
        <f t="shared" si="11"/>
        <v>32.066666666666663</v>
      </c>
      <c r="D137">
        <v>6</v>
      </c>
      <c r="E137">
        <v>360.6</v>
      </c>
      <c r="F137" t="s">
        <v>7</v>
      </c>
    </row>
    <row r="138" spans="1:6" x14ac:dyDescent="0.2">
      <c r="A138" s="1">
        <v>45917</v>
      </c>
      <c r="B138" s="2">
        <v>0.70833333333333337</v>
      </c>
      <c r="C138">
        <f t="shared" si="11"/>
        <v>32.066666666666663</v>
      </c>
      <c r="D138">
        <v>7</v>
      </c>
      <c r="E138">
        <v>336.7</v>
      </c>
      <c r="F138" t="s">
        <v>7</v>
      </c>
    </row>
    <row r="139" spans="1:6" x14ac:dyDescent="0.2">
      <c r="A139" s="1">
        <v>45917</v>
      </c>
      <c r="B139" s="2">
        <v>0.70833333333333337</v>
      </c>
      <c r="C139">
        <f t="shared" si="11"/>
        <v>32.066666666666663</v>
      </c>
      <c r="D139">
        <v>8</v>
      </c>
      <c r="E139">
        <v>561</v>
      </c>
      <c r="F139" t="s">
        <v>7</v>
      </c>
    </row>
    <row r="140" spans="1:6" x14ac:dyDescent="0.2">
      <c r="A140" s="1">
        <v>45917</v>
      </c>
      <c r="B140" s="2">
        <v>0.70833333333333337</v>
      </c>
      <c r="C140">
        <f t="shared" si="11"/>
        <v>32.066666666666663</v>
      </c>
      <c r="D140">
        <v>9</v>
      </c>
      <c r="E140">
        <v>621.1</v>
      </c>
      <c r="F140" t="s">
        <v>7</v>
      </c>
    </row>
    <row r="141" spans="1:6" x14ac:dyDescent="0.2">
      <c r="A141" s="1">
        <v>45917</v>
      </c>
      <c r="B141" s="2">
        <v>0.70833333333333337</v>
      </c>
      <c r="C141">
        <f t="shared" si="11"/>
        <v>32.066666666666663</v>
      </c>
      <c r="D141">
        <v>10</v>
      </c>
      <c r="E141">
        <v>337.1</v>
      </c>
      <c r="F14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60619-54D7-E34F-B869-9772823BFB25}">
  <dimension ref="A1:A8"/>
  <sheetViews>
    <sheetView tabSelected="1" workbookViewId="0">
      <selection activeCell="F7" sqref="F7"/>
    </sheetView>
  </sheetViews>
  <sheetFormatPr baseColWidth="10" defaultRowHeight="16" x14ac:dyDescent="0.2"/>
  <sheetData>
    <row r="1" spans="1:1" x14ac:dyDescent="0.2">
      <c r="A1" t="s">
        <v>8</v>
      </c>
    </row>
    <row r="2" spans="1:1" x14ac:dyDescent="0.2">
      <c r="A2" t="s">
        <v>9</v>
      </c>
    </row>
    <row r="3" spans="1:1" x14ac:dyDescent="0.2">
      <c r="A3" t="s">
        <v>10</v>
      </c>
    </row>
    <row r="4" spans="1:1" x14ac:dyDescent="0.2">
      <c r="A4" t="s">
        <v>11</v>
      </c>
    </row>
    <row r="5" spans="1:1" x14ac:dyDescent="0.2">
      <c r="A5" t="s">
        <v>12</v>
      </c>
    </row>
    <row r="6" spans="1:1" x14ac:dyDescent="0.2">
      <c r="A6" t="s">
        <v>13</v>
      </c>
    </row>
    <row r="7" spans="1:1" x14ac:dyDescent="0.2">
      <c r="A7" t="s">
        <v>14</v>
      </c>
    </row>
    <row r="8" spans="1:1" x14ac:dyDescent="0.2">
      <c r="A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Gollot</dc:creator>
  <cp:lastModifiedBy>Lisa Gollot</cp:lastModifiedBy>
  <dcterms:created xsi:type="dcterms:W3CDTF">2025-09-16T11:54:25Z</dcterms:created>
  <dcterms:modified xsi:type="dcterms:W3CDTF">2026-06-03T14:00:22Z</dcterms:modified>
</cp:coreProperties>
</file>