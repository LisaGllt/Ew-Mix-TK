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These/6_Manip/"/>
    </mc:Choice>
  </mc:AlternateContent>
  <xr:revisionPtr revIDLastSave="0" documentId="13_ncr:1_{61C58531-23C6-FA42-9124-7583426EFFB1}" xr6:coauthVersionLast="47" xr6:coauthVersionMax="47" xr10:uidLastSave="{00000000-0000-0000-0000-000000000000}"/>
  <bookViews>
    <workbookView xWindow="0" yWindow="740" windowWidth="18760" windowHeight="13940" firstSheet="1" activeTab="2" xr2:uid="{00000000-000D-0000-FFFF-FFFF00000000}"/>
  </bookViews>
  <sheets>
    <sheet name="250505_these Lisa_sol_cinetique" sheetId="1" r:id="rId1"/>
    <sheet name="250513_these Lisa_sol_cinetique" sheetId="3" r:id="rId2"/>
    <sheet name="résul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4" i="3" l="1"/>
  <c r="S164" i="3"/>
  <c r="T164" i="3" s="1"/>
  <c r="E15" i="2" s="1"/>
  <c r="U163" i="3"/>
  <c r="S163" i="3"/>
  <c r="T163" i="3" s="1"/>
  <c r="E14" i="2" s="1"/>
  <c r="U162" i="3"/>
  <c r="T162" i="3"/>
  <c r="E13" i="2" s="1"/>
  <c r="S162" i="3"/>
  <c r="U161" i="3"/>
  <c r="S161" i="3"/>
  <c r="T161" i="3" s="1"/>
  <c r="E12" i="2" s="1"/>
  <c r="U160" i="3"/>
  <c r="S160" i="3"/>
  <c r="T160" i="3" s="1"/>
  <c r="E11" i="2" s="1"/>
  <c r="U159" i="3"/>
  <c r="S159" i="3"/>
  <c r="T159" i="3" s="1"/>
  <c r="U158" i="3"/>
  <c r="S158" i="3"/>
  <c r="T158" i="3" s="1"/>
  <c r="U157" i="3"/>
  <c r="S157" i="3"/>
  <c r="T157" i="3" s="1"/>
  <c r="U156" i="3"/>
  <c r="S156" i="3"/>
  <c r="T156" i="3" s="1"/>
  <c r="U155" i="3"/>
  <c r="S155" i="3"/>
  <c r="T155" i="3" s="1"/>
  <c r="U98" i="3"/>
  <c r="S98" i="3"/>
  <c r="T98" i="3" s="1"/>
  <c r="U97" i="3"/>
  <c r="S97" i="3"/>
  <c r="T97" i="3" s="1"/>
  <c r="U96" i="3"/>
  <c r="T96" i="3"/>
  <c r="S96" i="3"/>
  <c r="U95" i="3"/>
  <c r="S95" i="3"/>
  <c r="T95" i="3" s="1"/>
  <c r="U94" i="3"/>
  <c r="S94" i="3"/>
  <c r="T94" i="3" s="1"/>
  <c r="U93" i="3"/>
  <c r="S93" i="3"/>
  <c r="T93" i="3" s="1"/>
  <c r="E8" i="2" s="1"/>
  <c r="U92" i="3"/>
  <c r="S92" i="3"/>
  <c r="T92" i="3" s="1"/>
  <c r="E7" i="2" s="1"/>
  <c r="F7" i="2" s="1"/>
  <c r="U91" i="3"/>
  <c r="S91" i="3"/>
  <c r="T91" i="3" s="1"/>
  <c r="E6" i="2" s="1"/>
  <c r="U90" i="3"/>
  <c r="S90" i="3"/>
  <c r="T90" i="3" s="1"/>
  <c r="E5" i="2" s="1"/>
  <c r="U89" i="3"/>
  <c r="S89" i="3"/>
  <c r="T89" i="3" s="1"/>
  <c r="E4" i="2" s="1"/>
  <c r="U32" i="3"/>
  <c r="S32" i="3"/>
  <c r="T32" i="3" s="1"/>
  <c r="U31" i="3"/>
  <c r="S31" i="3"/>
  <c r="T31" i="3" s="1"/>
  <c r="U30" i="3"/>
  <c r="S30" i="3"/>
  <c r="T30" i="3" s="1"/>
  <c r="U29" i="3"/>
  <c r="S29" i="3"/>
  <c r="T29" i="3" s="1"/>
  <c r="U28" i="3"/>
  <c r="S28" i="3"/>
  <c r="T28" i="3" s="1"/>
  <c r="U27" i="3"/>
  <c r="S27" i="3"/>
  <c r="T27" i="3" s="1"/>
  <c r="U26" i="3"/>
  <c r="S26" i="3"/>
  <c r="T26" i="3" s="1"/>
  <c r="U25" i="3"/>
  <c r="S25" i="3"/>
  <c r="T25" i="3" s="1"/>
  <c r="U24" i="3"/>
  <c r="T24" i="3"/>
  <c r="S24" i="3"/>
  <c r="U23" i="3"/>
  <c r="S23" i="3"/>
  <c r="T23" i="3" s="1"/>
  <c r="U28" i="1"/>
  <c r="U29" i="1"/>
  <c r="U30" i="1"/>
  <c r="U31" i="1"/>
  <c r="U32" i="1"/>
  <c r="U96" i="1"/>
  <c r="U97" i="1"/>
  <c r="U98" i="1"/>
  <c r="U99" i="1"/>
  <c r="U100" i="1"/>
  <c r="U101" i="1"/>
  <c r="U177" i="1"/>
  <c r="U178" i="1"/>
  <c r="U179" i="1"/>
  <c r="U180" i="1"/>
  <c r="U176" i="1"/>
  <c r="S28" i="1" l="1"/>
  <c r="S32" i="1"/>
  <c r="T32" i="1" s="1"/>
  <c r="S31" i="1"/>
  <c r="T31" i="1" s="1"/>
  <c r="S30" i="1"/>
  <c r="T30" i="1" s="1"/>
  <c r="S29" i="1"/>
  <c r="T29" i="1" s="1"/>
  <c r="T28" i="1"/>
  <c r="T180" i="1"/>
  <c r="D12" i="2" s="1"/>
  <c r="S177" i="1"/>
  <c r="T177" i="1" s="1"/>
  <c r="D14" i="2" s="1"/>
  <c r="S178" i="1"/>
  <c r="T178" i="1" s="1"/>
  <c r="D13" i="2" s="1"/>
  <c r="S179" i="1"/>
  <c r="T179" i="1" s="1"/>
  <c r="D11" i="2" s="1"/>
  <c r="S180" i="1"/>
  <c r="S176" i="1"/>
  <c r="T176" i="1" s="1"/>
  <c r="D15" i="2" s="1"/>
  <c r="T98" i="1"/>
  <c r="D6" i="2" s="1"/>
  <c r="T100" i="1"/>
  <c r="D5" i="2" s="1"/>
  <c r="T101" i="1"/>
  <c r="D7" i="2" s="1"/>
  <c r="T96" i="1"/>
  <c r="D8" i="2" s="1"/>
  <c r="S101" i="1"/>
  <c r="S96" i="1"/>
  <c r="S98" i="1"/>
  <c r="S99" i="1"/>
  <c r="T99" i="1" s="1"/>
  <c r="D4" i="2" s="1"/>
  <c r="S100" i="1"/>
  <c r="R217" i="1"/>
  <c r="R216" i="1"/>
  <c r="R215" i="1"/>
  <c r="R214" i="1"/>
  <c r="R213" i="1"/>
  <c r="R65" i="1"/>
  <c r="R66" i="1"/>
  <c r="R67" i="1"/>
  <c r="R68" i="1"/>
  <c r="R69" i="1"/>
  <c r="R134" i="1"/>
  <c r="R135" i="1"/>
  <c r="R136" i="1"/>
  <c r="R137" i="1"/>
  <c r="R138" i="1"/>
  <c r="R133" i="1"/>
  <c r="G5" i="2" l="1"/>
  <c r="F5" i="2"/>
  <c r="F8" i="2"/>
  <c r="G8" i="2"/>
  <c r="G4" i="2"/>
  <c r="F4" i="2"/>
  <c r="F14" i="2"/>
  <c r="G14" i="2"/>
  <c r="G15" i="2"/>
  <c r="F15" i="2"/>
  <c r="G11" i="2"/>
  <c r="F11" i="2"/>
  <c r="F12" i="2"/>
  <c r="G12" i="2"/>
  <c r="F6" i="2"/>
  <c r="G6" i="2"/>
  <c r="F13" i="2"/>
  <c r="G13" i="2"/>
</calcChain>
</file>

<file path=xl/sharedStrings.xml><?xml version="1.0" encoding="utf-8"?>
<sst xmlns="http://schemas.openxmlformats.org/spreadsheetml/2006/main" count="1177" uniqueCount="119">
  <si>
    <t xml:space="preserve">Quantify Compound Summary Report </t>
  </si>
  <si>
    <t>Printed Wed May 07 15:55:28 2025</t>
  </si>
  <si>
    <t>Compound 1:  Diflufenican</t>
  </si>
  <si>
    <t>#</t>
  </si>
  <si>
    <t>Name</t>
  </si>
  <si>
    <t>Sample Text</t>
  </si>
  <si>
    <t>RT</t>
  </si>
  <si>
    <t>Type</t>
  </si>
  <si>
    <t>%Dev</t>
  </si>
  <si>
    <t>Primary Flags</t>
  </si>
  <si>
    <t>Area</t>
  </si>
  <si>
    <t>IS Area</t>
  </si>
  <si>
    <t>Response</t>
  </si>
  <si>
    <t>1ｺ Area</t>
  </si>
  <si>
    <t>S/N</t>
  </si>
  <si>
    <t>1ｺ Ratio (Actual)</t>
  </si>
  <si>
    <t>250505_gamme_015ugL_1</t>
  </si>
  <si>
    <t>Standard</t>
  </si>
  <si>
    <t>bb</t>
  </si>
  <si>
    <t>250505_gamme_050ugL_1</t>
  </si>
  <si>
    <t>250505_gamme_2ugL_1</t>
  </si>
  <si>
    <t>250505_gamme_20ugL_1</t>
  </si>
  <si>
    <t>250505_gamme_50ugL_1</t>
  </si>
  <si>
    <t>250505_gamme_100ugL_1</t>
  </si>
  <si>
    <t>250505_gamme_300ugL_1</t>
  </si>
  <si>
    <t>250505_gamme_015ugL_2</t>
  </si>
  <si>
    <t>250505_gamme_050ugL_2</t>
  </si>
  <si>
    <t>250505_gamme_2ugL_2</t>
  </si>
  <si>
    <t>250505_gamme_20ugL_2</t>
  </si>
  <si>
    <t>250505_gamme_50ugL_2</t>
  </si>
  <si>
    <t>250505_gamme_100ugL_2</t>
  </si>
  <si>
    <t>250505_gamme_300ugL_2</t>
  </si>
  <si>
    <t>250505_EPX_J21_1</t>
  </si>
  <si>
    <t>Analyte</t>
  </si>
  <si>
    <t>250505_EPX_J14_3</t>
  </si>
  <si>
    <t>250505_EPX_J7_1</t>
  </si>
  <si>
    <t>250505_EPX_J0_1</t>
  </si>
  <si>
    <t>250505_EPX_J0_2</t>
  </si>
  <si>
    <t>250505_epx_J14_3_dil20</t>
  </si>
  <si>
    <t>250505_IMD_J21_1</t>
  </si>
  <si>
    <t>250505_IMD_J14_3</t>
  </si>
  <si>
    <t>250505_IND_J7_1</t>
  </si>
  <si>
    <t>250505_IMD_J0_1</t>
  </si>
  <si>
    <t>250505_IMD_J0_2</t>
  </si>
  <si>
    <t>250505_blanc_MeOH_1</t>
  </si>
  <si>
    <t>250505_blanc3</t>
  </si>
  <si>
    <t>250505_blanc4</t>
  </si>
  <si>
    <t>250505_blanc5</t>
  </si>
  <si>
    <t>250505_blanc_MeOH_2</t>
  </si>
  <si>
    <t>250505_blanc6</t>
  </si>
  <si>
    <t>250505_blanc7</t>
  </si>
  <si>
    <t>250505_blanc8</t>
  </si>
  <si>
    <t>Compound 2:  Diflufenican-d3</t>
  </si>
  <si>
    <t>MM</t>
  </si>
  <si>
    <t>Compound 3:  epoxiconazole</t>
  </si>
  <si>
    <t>Compound 4:  epoxiconazole-d5</t>
  </si>
  <si>
    <t>Compound 5:  Imidaclopride</t>
  </si>
  <si>
    <t>Compound 6:  Imidaclopride-d4</t>
  </si>
  <si>
    <t>Std, Conc</t>
  </si>
  <si>
    <t>pas de standard interne</t>
  </si>
  <si>
    <t>µg/l</t>
  </si>
  <si>
    <t>prise d'essai (g)</t>
  </si>
  <si>
    <t>RDT % sur SI</t>
  </si>
  <si>
    <t>dilution 1/10</t>
  </si>
  <si>
    <t>dilution 1/20</t>
  </si>
  <si>
    <t>quantité extrait (µg)</t>
  </si>
  <si>
    <t>hors gamme</t>
  </si>
  <si>
    <t>mg/kg</t>
  </si>
  <si>
    <t>Epoxiconazole</t>
  </si>
  <si>
    <t>J0-1</t>
  </si>
  <si>
    <t>J0-2</t>
  </si>
  <si>
    <t>J7-1</t>
  </si>
  <si>
    <t>J14-3</t>
  </si>
  <si>
    <t>J21-1</t>
  </si>
  <si>
    <t>Imdidacloprid</t>
  </si>
  <si>
    <t>mg/kg de sol sec</t>
  </si>
  <si>
    <t>moyenne</t>
  </si>
  <si>
    <t>ecart-type</t>
  </si>
  <si>
    <t>*valeur exclue</t>
  </si>
  <si>
    <t>réplicat analytique, r = 2</t>
  </si>
  <si>
    <t>RDT SI %</t>
  </si>
  <si>
    <t>analyse n°1</t>
  </si>
  <si>
    <t>analyse n°2</t>
  </si>
  <si>
    <t>Printed Thu May 15 15:00:37 2025</t>
  </si>
  <si>
    <t>ng/l</t>
  </si>
  <si>
    <t>250513_gamme1_4</t>
  </si>
  <si>
    <t>250513_gamme2</t>
  </si>
  <si>
    <t>250513_gamme3</t>
  </si>
  <si>
    <t>250513_gamme4</t>
  </si>
  <si>
    <t>250513_gamme5</t>
  </si>
  <si>
    <t>250513_gamme6</t>
  </si>
  <si>
    <t>250513_gamme7</t>
  </si>
  <si>
    <t>250513_gamme2fin</t>
  </si>
  <si>
    <t>250513_gamme4fin</t>
  </si>
  <si>
    <t>250513_gamme5fin</t>
  </si>
  <si>
    <t>250513_gamme7fin</t>
  </si>
  <si>
    <t>250513_meoh1</t>
  </si>
  <si>
    <t>250513_blanc2</t>
  </si>
  <si>
    <t>250513_blanc3</t>
  </si>
  <si>
    <t>250513_blanc4_d</t>
  </si>
  <si>
    <t>quantité extrait (ng)</t>
  </si>
  <si>
    <t>µg/kg</t>
  </si>
  <si>
    <t>250513_epx_J0_1</t>
  </si>
  <si>
    <t>bbI</t>
  </si>
  <si>
    <t>250513_epx_J0_2</t>
  </si>
  <si>
    <t>250513_epx_J7_1</t>
  </si>
  <si>
    <t>MMI</t>
  </si>
  <si>
    <t>250513_epx_J14_3</t>
  </si>
  <si>
    <t>250513_epx_J21_1</t>
  </si>
  <si>
    <t>250513_imd_J0_1</t>
  </si>
  <si>
    <t>250513_imd_J0_2</t>
  </si>
  <si>
    <t>250513_imd_J7_1</t>
  </si>
  <si>
    <t>250513_imd_J14_3</t>
  </si>
  <si>
    <t>250513_imd_J21_1</t>
  </si>
  <si>
    <t>250513_meoh2</t>
  </si>
  <si>
    <t>250513_blanc5</t>
  </si>
  <si>
    <t>250513_blanc6</t>
  </si>
  <si>
    <t>250513_blanc7d</t>
  </si>
  <si>
    <t>Résultats mg/kg de sol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</si>
</sst>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-* #,##0\ _€_-;\-* #,##0\ _€_-;_-* &quot;-&quot;??\ _€_-;_-@_-"/>
    <numFmt numFmtId="166" formatCode="0.0000"/>
    <numFmt numFmtId="167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 applyAlignment="1">
      <alignment horizontal="center"/>
    </xf>
    <xf numFmtId="0" fontId="0" fillId="33" borderId="0" xfId="0" applyFill="1"/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5" fontId="0" fillId="0" borderId="0" xfId="1" applyNumberFormat="1" applyFont="1"/>
    <xf numFmtId="1" fontId="0" fillId="0" borderId="0" xfId="0" applyNumberFormat="1"/>
    <xf numFmtId="0" fontId="19" fillId="0" borderId="0" xfId="0" applyFont="1" applyAlignment="1">
      <alignment horizontal="center"/>
    </xf>
    <xf numFmtId="165" fontId="14" fillId="0" borderId="0" xfId="1" applyNumberFormat="1" applyFont="1"/>
    <xf numFmtId="0" fontId="14" fillId="0" borderId="0" xfId="0" applyFont="1"/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7" fontId="20" fillId="0" borderId="0" xfId="0" applyNumberFormat="1" applyFont="1" applyAlignment="1">
      <alignment horizontal="center"/>
    </xf>
    <xf numFmtId="167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Milliers" xfId="1" builtinId="3"/>
    <cellStyle name="Neutre" xfId="9" builtinId="28" customBuiltin="1"/>
    <cellStyle name="Normal" xfId="0" builtinId="0"/>
    <cellStyle name="Note" xfId="16" builtinId="10" customBuiltin="1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1759343"/>
        <c:axId val="1941760287"/>
      </c:lineChart>
      <c:catAx>
        <c:axId val="1941759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1760287"/>
        <c:crosses val="autoZero"/>
        <c:auto val="1"/>
        <c:lblAlgn val="ctr"/>
        <c:lblOffset val="100"/>
        <c:noMultiLvlLbl val="0"/>
      </c:catAx>
      <c:valAx>
        <c:axId val="194176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175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0</xdr:row>
      <xdr:rowOff>88900</xdr:rowOff>
    </xdr:from>
    <xdr:to>
      <xdr:col>13</xdr:col>
      <xdr:colOff>768350</xdr:colOff>
      <xdr:row>14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306433B-CC0E-6ADC-E186-B37353A27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5"/>
  <sheetViews>
    <sheetView workbookViewId="0">
      <selection activeCell="K31" sqref="K31"/>
    </sheetView>
  </sheetViews>
  <sheetFormatPr baseColWidth="10" defaultRowHeight="15" x14ac:dyDescent="0.2"/>
  <cols>
    <col min="1" max="1" width="4.33203125" customWidth="1"/>
    <col min="2" max="2" width="5" customWidth="1"/>
    <col min="3" max="3" width="23" bestFit="1" customWidth="1"/>
    <col min="4" max="4" width="16.5" customWidth="1"/>
    <col min="5" max="5" width="4.83203125" style="5" bestFit="1" customWidth="1"/>
    <col min="6" max="6" width="8.5" bestFit="1" customWidth="1"/>
    <col min="7" max="7" width="8.6640625" style="5" bestFit="1" customWidth="1"/>
    <col min="8" max="8" width="5.6640625" bestFit="1" customWidth="1"/>
    <col min="9" max="9" width="3.83203125" customWidth="1"/>
    <col min="10" max="10" width="13.33203125" style="1" bestFit="1" customWidth="1"/>
    <col min="11" max="11" width="11.83203125" style="6" customWidth="1"/>
    <col min="12" max="12" width="11" style="6" customWidth="1"/>
    <col min="13" max="13" width="8.33203125" customWidth="1"/>
    <col min="14" max="14" width="11.33203125" style="6" customWidth="1"/>
    <col min="15" max="15" width="11.33203125" style="7" bestFit="1" customWidth="1"/>
    <col min="16" max="16" width="8.1640625" customWidth="1"/>
    <col min="17" max="17" width="3.1640625" customWidth="1"/>
    <col min="18" max="18" width="14.83203125" customWidth="1"/>
    <col min="19" max="19" width="18.1640625" bestFit="1" customWidth="1"/>
  </cols>
  <sheetData>
    <row r="1" spans="1:16" x14ac:dyDescent="0.2">
      <c r="A1" t="s">
        <v>0</v>
      </c>
    </row>
    <row r="3" spans="1:16" x14ac:dyDescent="0.2">
      <c r="A3" t="s">
        <v>1</v>
      </c>
    </row>
    <row r="5" spans="1:16" x14ac:dyDescent="0.2">
      <c r="A5" t="s">
        <v>2</v>
      </c>
    </row>
    <row r="7" spans="1:16" x14ac:dyDescent="0.2">
      <c r="B7" t="s">
        <v>3</v>
      </c>
      <c r="C7" t="s">
        <v>4</v>
      </c>
      <c r="D7" t="s">
        <v>5</v>
      </c>
      <c r="E7" s="5" t="s">
        <v>6</v>
      </c>
      <c r="F7" t="s">
        <v>7</v>
      </c>
      <c r="G7" s="5" t="s">
        <v>58</v>
      </c>
      <c r="H7" t="s">
        <v>8</v>
      </c>
      <c r="I7" t="s">
        <v>9</v>
      </c>
      <c r="J7" s="1" t="s">
        <v>60</v>
      </c>
      <c r="K7" s="6" t="s">
        <v>10</v>
      </c>
      <c r="L7" s="6" t="s">
        <v>11</v>
      </c>
      <c r="M7" t="s">
        <v>12</v>
      </c>
      <c r="N7" s="6" t="s">
        <v>13</v>
      </c>
      <c r="O7" s="7" t="s">
        <v>14</v>
      </c>
      <c r="P7" t="s">
        <v>15</v>
      </c>
    </row>
    <row r="8" spans="1:16" x14ac:dyDescent="0.2">
      <c r="A8">
        <v>1</v>
      </c>
      <c r="B8">
        <v>1</v>
      </c>
      <c r="C8" t="s">
        <v>16</v>
      </c>
      <c r="E8" s="5">
        <v>9.02</v>
      </c>
      <c r="F8" t="s">
        <v>17</v>
      </c>
      <c r="G8" s="5">
        <v>0.15</v>
      </c>
      <c r="H8">
        <v>2</v>
      </c>
      <c r="I8" t="s">
        <v>18</v>
      </c>
      <c r="J8" s="1">
        <v>0.15310000000000001</v>
      </c>
      <c r="K8" s="6">
        <v>570</v>
      </c>
      <c r="L8" s="6">
        <v>112567</v>
      </c>
      <c r="M8">
        <v>1.0129999999999999</v>
      </c>
      <c r="N8" s="6">
        <v>205</v>
      </c>
      <c r="O8" s="7">
        <v>299.17099999999999</v>
      </c>
      <c r="P8">
        <v>2.7770000000000001</v>
      </c>
    </row>
    <row r="9" spans="1:16" x14ac:dyDescent="0.2">
      <c r="A9">
        <v>2</v>
      </c>
      <c r="B9">
        <v>2</v>
      </c>
      <c r="C9" t="s">
        <v>19</v>
      </c>
      <c r="E9" s="5">
        <v>9.02</v>
      </c>
      <c r="F9" t="s">
        <v>17</v>
      </c>
      <c r="G9" s="5">
        <v>0.5</v>
      </c>
      <c r="H9">
        <v>0.1</v>
      </c>
      <c r="I9" t="s">
        <v>18</v>
      </c>
      <c r="J9" s="1">
        <v>0.50029999999999997</v>
      </c>
      <c r="K9" s="6">
        <v>1919</v>
      </c>
      <c r="L9" s="6">
        <v>116098</v>
      </c>
      <c r="M9">
        <v>3.306</v>
      </c>
      <c r="N9" s="6">
        <v>582</v>
      </c>
      <c r="O9" s="7">
        <v>720.43799999999999</v>
      </c>
      <c r="P9">
        <v>3.2989999999999999</v>
      </c>
    </row>
    <row r="10" spans="1:16" x14ac:dyDescent="0.2">
      <c r="A10">
        <v>3</v>
      </c>
      <c r="B10">
        <v>3</v>
      </c>
      <c r="C10" t="s">
        <v>20</v>
      </c>
      <c r="E10" s="5">
        <v>9.02</v>
      </c>
      <c r="F10" t="s">
        <v>17</v>
      </c>
      <c r="G10" s="5">
        <v>2</v>
      </c>
      <c r="H10">
        <v>-2.9</v>
      </c>
      <c r="I10" t="s">
        <v>18</v>
      </c>
      <c r="J10" s="1">
        <v>1.9412</v>
      </c>
      <c r="K10" s="6">
        <v>8208</v>
      </c>
      <c r="L10" s="6">
        <v>128045</v>
      </c>
      <c r="M10">
        <v>12.821</v>
      </c>
      <c r="N10" s="6">
        <v>2435</v>
      </c>
      <c r="O10" s="7">
        <v>5360.97</v>
      </c>
      <c r="P10">
        <v>3.371</v>
      </c>
    </row>
    <row r="11" spans="1:16" x14ac:dyDescent="0.2">
      <c r="A11">
        <v>4</v>
      </c>
      <c r="B11">
        <v>4</v>
      </c>
      <c r="C11" t="s">
        <v>21</v>
      </c>
      <c r="E11" s="5">
        <v>9.02</v>
      </c>
      <c r="F11" t="s">
        <v>17</v>
      </c>
      <c r="G11" s="5">
        <v>20.100000000000001</v>
      </c>
      <c r="H11">
        <v>2.8</v>
      </c>
      <c r="I11" t="s">
        <v>18</v>
      </c>
      <c r="J11" s="1">
        <v>20.652999999999999</v>
      </c>
      <c r="K11" s="6">
        <v>90009</v>
      </c>
      <c r="L11" s="6">
        <v>132398</v>
      </c>
      <c r="M11">
        <v>135.96700000000001</v>
      </c>
      <c r="N11" s="6">
        <v>25039</v>
      </c>
      <c r="O11" s="7">
        <v>74997.06</v>
      </c>
      <c r="P11">
        <v>3.5950000000000002</v>
      </c>
    </row>
    <row r="12" spans="1:16" x14ac:dyDescent="0.2">
      <c r="A12">
        <v>5</v>
      </c>
      <c r="B12">
        <v>5</v>
      </c>
      <c r="C12" t="s">
        <v>22</v>
      </c>
      <c r="E12" s="5">
        <v>9.01</v>
      </c>
      <c r="F12" t="s">
        <v>17</v>
      </c>
      <c r="G12" s="5">
        <v>50.2</v>
      </c>
      <c r="H12">
        <v>0.2</v>
      </c>
      <c r="I12" t="s">
        <v>18</v>
      </c>
      <c r="J12" s="1">
        <v>50.314300000000003</v>
      </c>
      <c r="K12" s="6">
        <v>227726</v>
      </c>
      <c r="L12" s="6">
        <v>138172</v>
      </c>
      <c r="M12">
        <v>329.62799999999999</v>
      </c>
      <c r="N12" s="6">
        <v>63090</v>
      </c>
      <c r="O12" s="7">
        <v>247249.617</v>
      </c>
      <c r="P12">
        <v>3.609</v>
      </c>
    </row>
    <row r="13" spans="1:16" x14ac:dyDescent="0.2">
      <c r="A13">
        <v>6</v>
      </c>
      <c r="B13">
        <v>6</v>
      </c>
      <c r="C13" t="s">
        <v>23</v>
      </c>
      <c r="E13" s="5">
        <v>9.01</v>
      </c>
      <c r="F13" t="s">
        <v>17</v>
      </c>
      <c r="G13" s="5">
        <v>100.4</v>
      </c>
      <c r="H13">
        <v>0.1</v>
      </c>
      <c r="I13" t="s">
        <v>18</v>
      </c>
      <c r="J13" s="1">
        <v>100.5385</v>
      </c>
      <c r="K13" s="6">
        <v>459398</v>
      </c>
      <c r="L13" s="6">
        <v>140658</v>
      </c>
      <c r="M13">
        <v>653.21500000000003</v>
      </c>
      <c r="N13" s="6">
        <v>127721</v>
      </c>
      <c r="O13" s="7">
        <v>130029.77</v>
      </c>
      <c r="P13">
        <v>3.597</v>
      </c>
    </row>
    <row r="14" spans="1:16" x14ac:dyDescent="0.2">
      <c r="A14">
        <v>7</v>
      </c>
      <c r="B14">
        <v>7</v>
      </c>
      <c r="C14" t="s">
        <v>24</v>
      </c>
      <c r="E14" s="5">
        <v>9.01</v>
      </c>
      <c r="F14" t="s">
        <v>17</v>
      </c>
      <c r="G14" s="5">
        <v>301.2</v>
      </c>
      <c r="H14">
        <v>4.4000000000000004</v>
      </c>
      <c r="I14" t="s">
        <v>18</v>
      </c>
      <c r="J14" s="1">
        <v>314.46190000000001</v>
      </c>
      <c r="K14" s="6">
        <v>1449844</v>
      </c>
      <c r="L14" s="6">
        <v>147154</v>
      </c>
      <c r="M14">
        <v>1970.5119999999999</v>
      </c>
      <c r="N14" s="6">
        <v>404538</v>
      </c>
      <c r="O14" s="7">
        <v>1460835.254</v>
      </c>
      <c r="P14">
        <v>3.5840000000000001</v>
      </c>
    </row>
    <row r="15" spans="1:16" x14ac:dyDescent="0.2">
      <c r="A15">
        <v>27</v>
      </c>
      <c r="B15">
        <v>27</v>
      </c>
      <c r="C15" t="s">
        <v>25</v>
      </c>
      <c r="E15" s="5">
        <v>9.02</v>
      </c>
      <c r="F15" t="s">
        <v>17</v>
      </c>
      <c r="G15" s="5">
        <v>0.15</v>
      </c>
      <c r="H15">
        <v>-1.7</v>
      </c>
      <c r="I15" t="s">
        <v>18</v>
      </c>
      <c r="J15" s="1">
        <v>0.14749999999999999</v>
      </c>
      <c r="K15" s="6">
        <v>777</v>
      </c>
      <c r="L15" s="6">
        <v>159209</v>
      </c>
      <c r="M15">
        <v>0.97599999999999998</v>
      </c>
      <c r="N15" s="6">
        <v>273</v>
      </c>
      <c r="O15" s="7">
        <v>1835.327</v>
      </c>
      <c r="P15">
        <v>2.843</v>
      </c>
    </row>
    <row r="16" spans="1:16" x14ac:dyDescent="0.2">
      <c r="A16">
        <v>28</v>
      </c>
      <c r="B16">
        <v>28</v>
      </c>
      <c r="C16" t="s">
        <v>26</v>
      </c>
      <c r="E16" s="5">
        <v>9.02</v>
      </c>
      <c r="F16" t="s">
        <v>17</v>
      </c>
      <c r="G16" s="5">
        <v>0.5</v>
      </c>
      <c r="H16">
        <v>0.7</v>
      </c>
      <c r="I16" t="s">
        <v>18</v>
      </c>
      <c r="J16" s="1">
        <v>0.50370000000000004</v>
      </c>
      <c r="K16" s="6">
        <v>2613</v>
      </c>
      <c r="L16" s="6">
        <v>157012</v>
      </c>
      <c r="M16">
        <v>3.3290000000000002</v>
      </c>
      <c r="N16" s="6">
        <v>805</v>
      </c>
      <c r="O16" s="7">
        <v>1336.556</v>
      </c>
      <c r="P16">
        <v>3.2469999999999999</v>
      </c>
    </row>
    <row r="17" spans="1:21" x14ac:dyDescent="0.2">
      <c r="A17">
        <v>29</v>
      </c>
      <c r="B17">
        <v>29</v>
      </c>
      <c r="C17" t="s">
        <v>27</v>
      </c>
      <c r="E17" s="5">
        <v>9.01</v>
      </c>
      <c r="F17" t="s">
        <v>17</v>
      </c>
      <c r="G17" s="5">
        <v>2</v>
      </c>
      <c r="H17">
        <v>-0.8</v>
      </c>
      <c r="I17" t="s">
        <v>18</v>
      </c>
      <c r="J17" s="1">
        <v>1.9846999999999999</v>
      </c>
      <c r="K17" s="6">
        <v>10031</v>
      </c>
      <c r="L17" s="6">
        <v>153061</v>
      </c>
      <c r="M17">
        <v>13.106999999999999</v>
      </c>
      <c r="N17" s="6">
        <v>2955</v>
      </c>
      <c r="O17" s="7">
        <v>5062.3689999999997</v>
      </c>
      <c r="P17">
        <v>3.395</v>
      </c>
    </row>
    <row r="18" spans="1:21" x14ac:dyDescent="0.2">
      <c r="A18">
        <v>30</v>
      </c>
      <c r="B18">
        <v>30</v>
      </c>
      <c r="C18" t="s">
        <v>28</v>
      </c>
      <c r="E18" s="5">
        <v>9.01</v>
      </c>
      <c r="F18" t="s">
        <v>17</v>
      </c>
      <c r="G18" s="5">
        <v>20.100000000000001</v>
      </c>
      <c r="H18">
        <v>1.1000000000000001</v>
      </c>
      <c r="I18" t="s">
        <v>18</v>
      </c>
      <c r="J18" s="1">
        <v>20.325700000000001</v>
      </c>
      <c r="K18" s="6">
        <v>102975</v>
      </c>
      <c r="L18" s="6">
        <v>153900</v>
      </c>
      <c r="M18">
        <v>133.82</v>
      </c>
      <c r="N18" s="6">
        <v>29497</v>
      </c>
      <c r="O18" s="7">
        <v>43176.15</v>
      </c>
      <c r="P18">
        <v>3.4910000000000001</v>
      </c>
    </row>
    <row r="19" spans="1:21" x14ac:dyDescent="0.2">
      <c r="A19">
        <v>31</v>
      </c>
      <c r="B19">
        <v>31</v>
      </c>
      <c r="C19" t="s">
        <v>29</v>
      </c>
      <c r="E19" s="5">
        <v>9.01</v>
      </c>
      <c r="F19" t="s">
        <v>17</v>
      </c>
      <c r="G19" s="5">
        <v>50.2</v>
      </c>
      <c r="H19">
        <v>-1.3</v>
      </c>
      <c r="I19" t="s">
        <v>18</v>
      </c>
      <c r="J19" s="1">
        <v>49.5473</v>
      </c>
      <c r="K19" s="6">
        <v>255626</v>
      </c>
      <c r="L19" s="6">
        <v>157481</v>
      </c>
      <c r="M19">
        <v>324.64400000000001</v>
      </c>
      <c r="N19" s="6">
        <v>74169</v>
      </c>
      <c r="O19" s="7">
        <v>297241.11200000002</v>
      </c>
      <c r="P19">
        <v>3.4470000000000001</v>
      </c>
    </row>
    <row r="20" spans="1:21" x14ac:dyDescent="0.2">
      <c r="A20">
        <v>32</v>
      </c>
      <c r="B20">
        <v>32</v>
      </c>
      <c r="C20" t="s">
        <v>30</v>
      </c>
      <c r="E20" s="5">
        <v>9.01</v>
      </c>
      <c r="F20" t="s">
        <v>17</v>
      </c>
      <c r="G20" s="5">
        <v>100.4</v>
      </c>
      <c r="H20">
        <v>-0.5</v>
      </c>
      <c r="I20" t="s">
        <v>18</v>
      </c>
      <c r="J20" s="1">
        <v>99.933599999999998</v>
      </c>
      <c r="K20" s="6">
        <v>505080</v>
      </c>
      <c r="L20" s="6">
        <v>155565</v>
      </c>
      <c r="M20">
        <v>649.35</v>
      </c>
      <c r="N20" s="6">
        <v>143936</v>
      </c>
      <c r="O20" s="7">
        <v>156887.09299999999</v>
      </c>
      <c r="P20">
        <v>3.5089999999999999</v>
      </c>
    </row>
    <row r="21" spans="1:21" x14ac:dyDescent="0.2">
      <c r="A21">
        <v>33</v>
      </c>
      <c r="B21">
        <v>33</v>
      </c>
      <c r="C21" t="s">
        <v>31</v>
      </c>
      <c r="E21" s="5">
        <v>9.01</v>
      </c>
      <c r="F21" t="s">
        <v>17</v>
      </c>
      <c r="G21" s="5">
        <v>301.2</v>
      </c>
      <c r="H21">
        <v>-4.3</v>
      </c>
      <c r="I21" t="s">
        <v>18</v>
      </c>
      <c r="J21" s="3">
        <v>288.1592</v>
      </c>
      <c r="K21" s="6">
        <v>1527659</v>
      </c>
      <c r="L21" s="6">
        <v>168442</v>
      </c>
      <c r="M21">
        <v>1813.87</v>
      </c>
      <c r="N21" s="6">
        <v>443355</v>
      </c>
      <c r="O21" s="7">
        <v>234638.33</v>
      </c>
      <c r="P21">
        <v>3.4460000000000002</v>
      </c>
      <c r="R21" s="5" t="s">
        <v>61</v>
      </c>
      <c r="S21" t="s">
        <v>65</v>
      </c>
      <c r="T21" s="5" t="s">
        <v>67</v>
      </c>
      <c r="U21" s="5" t="s">
        <v>80</v>
      </c>
    </row>
    <row r="22" spans="1:21" x14ac:dyDescent="0.2">
      <c r="A22">
        <v>12</v>
      </c>
      <c r="B22">
        <v>12</v>
      </c>
      <c r="C22" t="s">
        <v>32</v>
      </c>
      <c r="E22" s="5">
        <v>9.01</v>
      </c>
      <c r="F22" t="s">
        <v>33</v>
      </c>
      <c r="I22" t="s">
        <v>18</v>
      </c>
      <c r="J22" s="3">
        <v>539.20709999999997</v>
      </c>
      <c r="K22" s="6">
        <v>289</v>
      </c>
      <c r="L22" s="6">
        <v>18</v>
      </c>
      <c r="M22">
        <v>3248.0590000000002</v>
      </c>
      <c r="N22" s="6">
        <v>76</v>
      </c>
      <c r="O22" s="7">
        <v>63.496000000000002</v>
      </c>
      <c r="P22">
        <v>3.8069999999999999</v>
      </c>
      <c r="R22" s="5">
        <v>4.9640000000000004</v>
      </c>
      <c r="T22" s="12"/>
      <c r="U22" s="2" t="s">
        <v>59</v>
      </c>
    </row>
    <row r="23" spans="1:21" x14ac:dyDescent="0.2">
      <c r="A23">
        <v>13</v>
      </c>
      <c r="B23">
        <v>13</v>
      </c>
      <c r="C23" t="s">
        <v>34</v>
      </c>
      <c r="E23" s="5">
        <v>9.01</v>
      </c>
      <c r="F23" t="s">
        <v>33</v>
      </c>
      <c r="I23" t="s">
        <v>18</v>
      </c>
      <c r="J23" s="3">
        <v>340.8252</v>
      </c>
      <c r="K23" s="6">
        <v>226</v>
      </c>
      <c r="L23" s="6">
        <v>21</v>
      </c>
      <c r="M23">
        <v>2126.0160000000001</v>
      </c>
      <c r="N23" s="6">
        <v>90</v>
      </c>
      <c r="O23" s="7">
        <v>195.297</v>
      </c>
      <c r="P23">
        <v>2.5129999999999999</v>
      </c>
      <c r="R23" s="5">
        <v>5.0911999999999997</v>
      </c>
      <c r="T23" s="12"/>
      <c r="U23" s="2" t="s">
        <v>59</v>
      </c>
    </row>
    <row r="24" spans="1:21" x14ac:dyDescent="0.2">
      <c r="A24">
        <v>14</v>
      </c>
      <c r="B24">
        <v>14</v>
      </c>
      <c r="C24" t="s">
        <v>35</v>
      </c>
      <c r="E24" s="5">
        <v>9.01</v>
      </c>
      <c r="F24" t="s">
        <v>33</v>
      </c>
      <c r="I24" t="s">
        <v>18</v>
      </c>
      <c r="J24" s="3"/>
      <c r="K24" s="6">
        <v>161</v>
      </c>
      <c r="N24" s="6">
        <v>42</v>
      </c>
      <c r="O24" s="7">
        <v>23.513999999999999</v>
      </c>
      <c r="P24">
        <v>3.8180000000000001</v>
      </c>
      <c r="R24" s="5">
        <v>4.9481000000000002</v>
      </c>
      <c r="T24" s="12"/>
      <c r="U24" s="2" t="s">
        <v>59</v>
      </c>
    </row>
    <row r="25" spans="1:21" x14ac:dyDescent="0.2">
      <c r="A25">
        <v>15</v>
      </c>
      <c r="B25">
        <v>15</v>
      </c>
      <c r="C25" t="s">
        <v>36</v>
      </c>
      <c r="E25" s="5">
        <v>9.01</v>
      </c>
      <c r="F25" t="s">
        <v>33</v>
      </c>
      <c r="I25" t="s">
        <v>18</v>
      </c>
      <c r="J25" s="3">
        <v>368.22059999999999</v>
      </c>
      <c r="K25" s="6">
        <v>407</v>
      </c>
      <c r="L25" s="6">
        <v>36</v>
      </c>
      <c r="M25">
        <v>2286.018</v>
      </c>
      <c r="N25" s="6">
        <v>108</v>
      </c>
      <c r="O25" s="7">
        <v>93.173000000000002</v>
      </c>
      <c r="P25">
        <v>3.76</v>
      </c>
      <c r="R25" s="5">
        <v>5.0441000000000003</v>
      </c>
      <c r="T25" s="12"/>
      <c r="U25" s="2" t="s">
        <v>59</v>
      </c>
    </row>
    <row r="26" spans="1:21" x14ac:dyDescent="0.2">
      <c r="A26">
        <v>16</v>
      </c>
      <c r="B26">
        <v>16</v>
      </c>
      <c r="C26" t="s">
        <v>37</v>
      </c>
      <c r="E26" s="5">
        <v>9.01</v>
      </c>
      <c r="F26" t="s">
        <v>33</v>
      </c>
      <c r="I26" t="s">
        <v>18</v>
      </c>
      <c r="J26" s="3">
        <v>411.09269999999998</v>
      </c>
      <c r="K26" s="6">
        <v>196</v>
      </c>
      <c r="L26" s="6">
        <v>16</v>
      </c>
      <c r="M26">
        <v>2533.1610000000001</v>
      </c>
      <c r="N26" s="6">
        <v>51</v>
      </c>
      <c r="O26" s="7">
        <v>79.617999999999995</v>
      </c>
      <c r="P26">
        <v>3.8730000000000002</v>
      </c>
      <c r="R26" s="5">
        <v>5.0976999999999997</v>
      </c>
      <c r="T26" s="12"/>
      <c r="U26" s="2" t="s">
        <v>59</v>
      </c>
    </row>
    <row r="27" spans="1:21" x14ac:dyDescent="0.2">
      <c r="A27">
        <v>17</v>
      </c>
      <c r="B27">
        <v>17</v>
      </c>
      <c r="C27" t="s">
        <v>38</v>
      </c>
      <c r="E27" s="5">
        <v>9.01</v>
      </c>
      <c r="F27" t="s">
        <v>33</v>
      </c>
      <c r="I27" t="s">
        <v>18</v>
      </c>
      <c r="J27" s="3"/>
      <c r="K27" s="6">
        <v>101</v>
      </c>
      <c r="N27" s="6">
        <v>41</v>
      </c>
      <c r="O27" s="7">
        <v>70.546999999999997</v>
      </c>
      <c r="P27">
        <v>2.4609999999999999</v>
      </c>
      <c r="R27" s="5">
        <v>5.0911999999999997</v>
      </c>
      <c r="T27" s="12"/>
      <c r="U27" s="2" t="s">
        <v>59</v>
      </c>
    </row>
    <row r="28" spans="1:21" x14ac:dyDescent="0.2">
      <c r="A28">
        <v>18</v>
      </c>
      <c r="B28">
        <v>18</v>
      </c>
      <c r="C28" t="s">
        <v>39</v>
      </c>
      <c r="E28" s="5">
        <v>9.01</v>
      </c>
      <c r="F28" t="s">
        <v>33</v>
      </c>
      <c r="I28" t="s">
        <v>18</v>
      </c>
      <c r="J28" s="1">
        <v>1.2373000000000001</v>
      </c>
      <c r="K28" s="6">
        <v>1694</v>
      </c>
      <c r="L28" s="6">
        <v>41452</v>
      </c>
      <c r="M28">
        <v>8.173</v>
      </c>
      <c r="N28" s="6">
        <v>514</v>
      </c>
      <c r="O28" s="7">
        <v>395.81099999999998</v>
      </c>
      <c r="P28">
        <v>3.2959999999999998</v>
      </c>
      <c r="R28" s="5">
        <v>5.0968</v>
      </c>
      <c r="S28" s="12">
        <f>(J28*2/1000)*9/8</f>
        <v>2.783925E-3</v>
      </c>
      <c r="T28" s="13">
        <f t="shared" ref="T28:T32" si="0">(S28*1000/5)/1000</f>
        <v>5.5678499999999996E-4</v>
      </c>
      <c r="U28" s="5">
        <f t="shared" ref="U28:U32" si="1">100+H65</f>
        <v>28.700000000000003</v>
      </c>
    </row>
    <row r="29" spans="1:21" x14ac:dyDescent="0.2">
      <c r="A29">
        <v>19</v>
      </c>
      <c r="B29">
        <v>19</v>
      </c>
      <c r="C29" t="s">
        <v>40</v>
      </c>
      <c r="E29" s="5">
        <v>9.01</v>
      </c>
      <c r="F29" t="s">
        <v>33</v>
      </c>
      <c r="I29" t="s">
        <v>18</v>
      </c>
      <c r="J29" s="1">
        <v>0.74970000000000003</v>
      </c>
      <c r="K29" s="6">
        <v>1042</v>
      </c>
      <c r="L29" s="6">
        <v>42052</v>
      </c>
      <c r="M29">
        <v>4.9530000000000003</v>
      </c>
      <c r="N29" s="6">
        <v>312</v>
      </c>
      <c r="O29" s="7">
        <v>548.86500000000001</v>
      </c>
      <c r="P29">
        <v>3.335</v>
      </c>
      <c r="R29" s="5">
        <v>5.0369999999999999</v>
      </c>
      <c r="S29" s="12">
        <f t="shared" ref="S29:S32" si="2">(J29*2/1000)*9/8</f>
        <v>1.6868250000000001E-3</v>
      </c>
      <c r="T29" s="13">
        <f t="shared" si="0"/>
        <v>3.3736500000000001E-4</v>
      </c>
      <c r="U29" s="5">
        <f t="shared" si="1"/>
        <v>29.099999999999994</v>
      </c>
    </row>
    <row r="30" spans="1:21" x14ac:dyDescent="0.2">
      <c r="A30">
        <v>20</v>
      </c>
      <c r="B30">
        <v>20</v>
      </c>
      <c r="C30" t="s">
        <v>41</v>
      </c>
      <c r="E30" s="5">
        <v>9</v>
      </c>
      <c r="F30" t="s">
        <v>33</v>
      </c>
      <c r="I30" t="s">
        <v>18</v>
      </c>
      <c r="J30" s="1">
        <v>0.43259999999999998</v>
      </c>
      <c r="K30" s="6">
        <v>628</v>
      </c>
      <c r="L30" s="6">
        <v>43953</v>
      </c>
      <c r="M30">
        <v>2.86</v>
      </c>
      <c r="N30" s="6">
        <v>202</v>
      </c>
      <c r="O30" s="7">
        <v>208.32900000000001</v>
      </c>
      <c r="P30">
        <v>3.1040000000000001</v>
      </c>
      <c r="R30" s="5">
        <v>5.0720999999999998</v>
      </c>
      <c r="S30" s="12">
        <f t="shared" si="2"/>
        <v>9.7335E-4</v>
      </c>
      <c r="T30" s="13">
        <f t="shared" si="0"/>
        <v>1.9467E-4</v>
      </c>
      <c r="U30" s="5">
        <f t="shared" si="1"/>
        <v>30.5</v>
      </c>
    </row>
    <row r="31" spans="1:21" x14ac:dyDescent="0.2">
      <c r="A31">
        <v>21</v>
      </c>
      <c r="B31">
        <v>21</v>
      </c>
      <c r="C31" t="s">
        <v>42</v>
      </c>
      <c r="E31" s="5">
        <v>9</v>
      </c>
      <c r="F31" t="s">
        <v>33</v>
      </c>
      <c r="I31" t="s">
        <v>18</v>
      </c>
      <c r="J31" s="1">
        <v>0.83240000000000003</v>
      </c>
      <c r="K31" s="6">
        <v>1383</v>
      </c>
      <c r="L31" s="6">
        <v>50285</v>
      </c>
      <c r="M31">
        <v>5.5</v>
      </c>
      <c r="N31" s="6">
        <v>419</v>
      </c>
      <c r="O31" s="7">
        <v>327.95800000000003</v>
      </c>
      <c r="P31">
        <v>3.3</v>
      </c>
      <c r="R31" s="5">
        <v>4.9245000000000001</v>
      </c>
      <c r="S31" s="12">
        <f t="shared" si="2"/>
        <v>1.8729000000000003E-3</v>
      </c>
      <c r="T31" s="13">
        <f t="shared" si="0"/>
        <v>3.7458000000000001E-4</v>
      </c>
      <c r="U31" s="5">
        <f t="shared" si="1"/>
        <v>34.900000000000006</v>
      </c>
    </row>
    <row r="32" spans="1:21" x14ac:dyDescent="0.2">
      <c r="A32">
        <v>22</v>
      </c>
      <c r="B32">
        <v>22</v>
      </c>
      <c r="C32" t="s">
        <v>43</v>
      </c>
      <c r="E32" s="5">
        <v>9</v>
      </c>
      <c r="F32" t="s">
        <v>33</v>
      </c>
      <c r="I32" t="s">
        <v>18</v>
      </c>
      <c r="J32" s="1">
        <v>0.4839</v>
      </c>
      <c r="K32" s="6">
        <v>870</v>
      </c>
      <c r="L32" s="6">
        <v>54382</v>
      </c>
      <c r="M32">
        <v>3.198</v>
      </c>
      <c r="N32" s="6">
        <v>261</v>
      </c>
      <c r="O32" s="7">
        <v>700.93299999999999</v>
      </c>
      <c r="P32">
        <v>3.3380000000000001</v>
      </c>
      <c r="R32" s="5">
        <v>4.9744000000000002</v>
      </c>
      <c r="S32" s="12">
        <f t="shared" si="2"/>
        <v>1.0887749999999999E-3</v>
      </c>
      <c r="T32" s="13">
        <f t="shared" si="0"/>
        <v>2.17755E-4</v>
      </c>
      <c r="U32" s="5">
        <f t="shared" si="1"/>
        <v>37.700000000000003</v>
      </c>
    </row>
    <row r="33" spans="1:16" x14ac:dyDescent="0.2">
      <c r="A33">
        <v>8</v>
      </c>
      <c r="B33">
        <v>8</v>
      </c>
      <c r="C33" t="s">
        <v>44</v>
      </c>
      <c r="E33" s="5">
        <v>9.02</v>
      </c>
      <c r="I33" t="s">
        <v>18</v>
      </c>
      <c r="J33" s="1">
        <v>241.10230000000001</v>
      </c>
      <c r="K33" s="6">
        <v>905</v>
      </c>
      <c r="L33" s="6">
        <v>118</v>
      </c>
      <c r="M33">
        <v>1529.9059999999999</v>
      </c>
      <c r="N33" s="6">
        <v>244</v>
      </c>
      <c r="O33" s="7">
        <v>91.87</v>
      </c>
      <c r="P33">
        <v>3.7160000000000002</v>
      </c>
    </row>
    <row r="34" spans="1:16" x14ac:dyDescent="0.2">
      <c r="A34">
        <v>9</v>
      </c>
      <c r="B34">
        <v>9</v>
      </c>
      <c r="C34" t="s">
        <v>45</v>
      </c>
      <c r="E34" s="5">
        <v>9.02</v>
      </c>
      <c r="I34" t="s">
        <v>18</v>
      </c>
      <c r="J34" s="1">
        <v>186.6944</v>
      </c>
      <c r="K34" s="6">
        <v>306</v>
      </c>
      <c r="L34" s="6">
        <v>51</v>
      </c>
      <c r="M34">
        <v>1195.624</v>
      </c>
      <c r="N34" s="6">
        <v>73</v>
      </c>
      <c r="O34" s="7">
        <v>137.80799999999999</v>
      </c>
      <c r="P34">
        <v>4.1959999999999997</v>
      </c>
    </row>
    <row r="35" spans="1:16" x14ac:dyDescent="0.2">
      <c r="A35">
        <v>10</v>
      </c>
      <c r="B35">
        <v>10</v>
      </c>
      <c r="C35" t="s">
        <v>46</v>
      </c>
      <c r="E35" s="5">
        <v>9.02</v>
      </c>
      <c r="I35" t="s">
        <v>18</v>
      </c>
      <c r="K35" s="6">
        <v>153</v>
      </c>
      <c r="N35" s="6">
        <v>53</v>
      </c>
      <c r="O35" s="7">
        <v>191.32599999999999</v>
      </c>
      <c r="P35">
        <v>2.8980000000000001</v>
      </c>
    </row>
    <row r="36" spans="1:16" x14ac:dyDescent="0.2">
      <c r="A36">
        <v>11</v>
      </c>
      <c r="B36">
        <v>11</v>
      </c>
      <c r="C36" t="s">
        <v>47</v>
      </c>
      <c r="E36" s="5">
        <v>9.01</v>
      </c>
      <c r="I36" t="s">
        <v>18</v>
      </c>
      <c r="K36" s="6">
        <v>120</v>
      </c>
      <c r="O36" s="7">
        <v>22.626999999999999</v>
      </c>
    </row>
    <row r="37" spans="1:16" x14ac:dyDescent="0.2">
      <c r="A37">
        <v>23</v>
      </c>
      <c r="B37">
        <v>23</v>
      </c>
      <c r="C37" t="s">
        <v>48</v>
      </c>
      <c r="L37" s="6">
        <v>59</v>
      </c>
    </row>
    <row r="38" spans="1:16" x14ac:dyDescent="0.2">
      <c r="A38">
        <v>24</v>
      </c>
      <c r="B38">
        <v>24</v>
      </c>
      <c r="C38" t="s">
        <v>49</v>
      </c>
    </row>
    <row r="39" spans="1:16" x14ac:dyDescent="0.2">
      <c r="A39">
        <v>25</v>
      </c>
      <c r="B39">
        <v>25</v>
      </c>
      <c r="C39" t="s">
        <v>50</v>
      </c>
    </row>
    <row r="40" spans="1:16" x14ac:dyDescent="0.2">
      <c r="A40">
        <v>26</v>
      </c>
      <c r="B40">
        <v>26</v>
      </c>
      <c r="C40" t="s">
        <v>51</v>
      </c>
    </row>
    <row r="42" spans="1:16" x14ac:dyDescent="0.2">
      <c r="A42" t="s">
        <v>52</v>
      </c>
    </row>
    <row r="44" spans="1:16" x14ac:dyDescent="0.2">
      <c r="B44" t="s">
        <v>3</v>
      </c>
      <c r="C44" t="s">
        <v>4</v>
      </c>
      <c r="D44" t="s">
        <v>5</v>
      </c>
      <c r="E44" s="5" t="s">
        <v>6</v>
      </c>
      <c r="F44" t="s">
        <v>7</v>
      </c>
      <c r="G44" s="5" t="s">
        <v>58</v>
      </c>
      <c r="H44" t="s">
        <v>8</v>
      </c>
      <c r="I44" t="s">
        <v>9</v>
      </c>
      <c r="J44" s="1" t="s">
        <v>60</v>
      </c>
      <c r="K44" s="6" t="s">
        <v>10</v>
      </c>
      <c r="L44" s="6" t="s">
        <v>11</v>
      </c>
      <c r="M44" t="s">
        <v>12</v>
      </c>
      <c r="N44" s="6" t="s">
        <v>13</v>
      </c>
      <c r="O44" s="7" t="s">
        <v>14</v>
      </c>
      <c r="P44" t="s">
        <v>15</v>
      </c>
    </row>
    <row r="45" spans="1:16" x14ac:dyDescent="0.2">
      <c r="A45">
        <v>1</v>
      </c>
      <c r="B45">
        <v>1</v>
      </c>
      <c r="C45" t="s">
        <v>16</v>
      </c>
      <c r="E45" s="5">
        <v>9.01</v>
      </c>
      <c r="F45" t="s">
        <v>17</v>
      </c>
      <c r="G45" s="5">
        <v>200</v>
      </c>
      <c r="H45">
        <v>-22</v>
      </c>
      <c r="I45" t="s">
        <v>53</v>
      </c>
      <c r="J45" s="1">
        <v>156.05189999999999</v>
      </c>
      <c r="K45" s="6">
        <v>112567</v>
      </c>
      <c r="M45">
        <v>112566.984</v>
      </c>
      <c r="O45" s="7">
        <v>68512.930999999997</v>
      </c>
    </row>
    <row r="46" spans="1:16" x14ac:dyDescent="0.2">
      <c r="A46">
        <v>2</v>
      </c>
      <c r="B46">
        <v>2</v>
      </c>
      <c r="C46" t="s">
        <v>19</v>
      </c>
      <c r="E46" s="5">
        <v>9.01</v>
      </c>
      <c r="F46" t="s">
        <v>17</v>
      </c>
      <c r="G46" s="5">
        <v>200</v>
      </c>
      <c r="H46">
        <v>-19.5</v>
      </c>
      <c r="I46" t="s">
        <v>53</v>
      </c>
      <c r="J46" s="1">
        <v>160.94720000000001</v>
      </c>
      <c r="K46" s="6">
        <v>116098</v>
      </c>
      <c r="M46">
        <v>116098.18</v>
      </c>
      <c r="O46" s="7">
        <v>82935.120999999999</v>
      </c>
    </row>
    <row r="47" spans="1:16" x14ac:dyDescent="0.2">
      <c r="A47">
        <v>3</v>
      </c>
      <c r="B47">
        <v>3</v>
      </c>
      <c r="C47" t="s">
        <v>20</v>
      </c>
      <c r="E47" s="5">
        <v>9.01</v>
      </c>
      <c r="F47" t="s">
        <v>17</v>
      </c>
      <c r="G47" s="5">
        <v>200</v>
      </c>
      <c r="H47">
        <v>-11.2</v>
      </c>
      <c r="I47" t="s">
        <v>53</v>
      </c>
      <c r="J47" s="1">
        <v>177.50970000000001</v>
      </c>
      <c r="K47" s="6">
        <v>128045</v>
      </c>
      <c r="M47">
        <v>128045.461</v>
      </c>
      <c r="O47" s="7">
        <v>12543.505999999999</v>
      </c>
    </row>
    <row r="48" spans="1:16" x14ac:dyDescent="0.2">
      <c r="A48">
        <v>4</v>
      </c>
      <c r="B48">
        <v>4</v>
      </c>
      <c r="C48" t="s">
        <v>21</v>
      </c>
      <c r="E48" s="5">
        <v>9.01</v>
      </c>
      <c r="F48" t="s">
        <v>17</v>
      </c>
      <c r="G48" s="5">
        <v>200</v>
      </c>
      <c r="H48">
        <v>-8.1999999999999993</v>
      </c>
      <c r="I48" t="s">
        <v>53</v>
      </c>
      <c r="J48" s="1">
        <v>183.54400000000001</v>
      </c>
      <c r="K48" s="6">
        <v>132398</v>
      </c>
      <c r="M48">
        <v>132398.28099999999</v>
      </c>
      <c r="O48" s="7">
        <v>156210.71900000001</v>
      </c>
    </row>
    <row r="49" spans="1:18" x14ac:dyDescent="0.2">
      <c r="A49">
        <v>5</v>
      </c>
      <c r="B49">
        <v>5</v>
      </c>
      <c r="C49" t="s">
        <v>22</v>
      </c>
      <c r="E49" s="5">
        <v>9.01</v>
      </c>
      <c r="F49" t="s">
        <v>17</v>
      </c>
      <c r="G49" s="5">
        <v>200</v>
      </c>
      <c r="H49">
        <v>-4.2</v>
      </c>
      <c r="I49" t="s">
        <v>53</v>
      </c>
      <c r="J49" s="1">
        <v>191.54769999999999</v>
      </c>
      <c r="K49" s="6">
        <v>138172</v>
      </c>
      <c r="M49">
        <v>138171.67199999999</v>
      </c>
      <c r="O49" s="7">
        <v>77485.123999999996</v>
      </c>
    </row>
    <row r="50" spans="1:18" x14ac:dyDescent="0.2">
      <c r="A50">
        <v>6</v>
      </c>
      <c r="B50">
        <v>6</v>
      </c>
      <c r="C50" t="s">
        <v>23</v>
      </c>
      <c r="E50" s="5">
        <v>9.01</v>
      </c>
      <c r="F50" t="s">
        <v>17</v>
      </c>
      <c r="G50" s="5">
        <v>200</v>
      </c>
      <c r="H50">
        <v>-2.5</v>
      </c>
      <c r="I50" t="s">
        <v>53</v>
      </c>
      <c r="J50" s="1">
        <v>194.9941</v>
      </c>
      <c r="K50" s="6">
        <v>140658</v>
      </c>
      <c r="M50">
        <v>140657.68799999999</v>
      </c>
      <c r="O50" s="7">
        <v>200579.32800000001</v>
      </c>
    </row>
    <row r="51" spans="1:18" x14ac:dyDescent="0.2">
      <c r="A51">
        <v>7</v>
      </c>
      <c r="B51">
        <v>7</v>
      </c>
      <c r="C51" t="s">
        <v>24</v>
      </c>
      <c r="E51" s="5">
        <v>9.01</v>
      </c>
      <c r="F51" t="s">
        <v>17</v>
      </c>
      <c r="G51" s="5">
        <v>200</v>
      </c>
      <c r="H51">
        <v>2</v>
      </c>
      <c r="I51" t="s">
        <v>53</v>
      </c>
      <c r="J51" s="1">
        <v>204</v>
      </c>
      <c r="K51" s="6">
        <v>147154</v>
      </c>
      <c r="M51">
        <v>147154.07800000001</v>
      </c>
      <c r="O51" s="7">
        <v>65006.491999999998</v>
      </c>
    </row>
    <row r="52" spans="1:18" x14ac:dyDescent="0.2">
      <c r="A52">
        <v>27</v>
      </c>
      <c r="B52">
        <v>27</v>
      </c>
      <c r="C52" t="s">
        <v>25</v>
      </c>
      <c r="E52" s="5">
        <v>9.01</v>
      </c>
      <c r="F52" t="s">
        <v>17</v>
      </c>
      <c r="G52" s="5">
        <v>200</v>
      </c>
      <c r="H52">
        <v>10.4</v>
      </c>
      <c r="I52" t="s">
        <v>53</v>
      </c>
      <c r="J52" s="1">
        <v>220.71129999999999</v>
      </c>
      <c r="K52" s="6">
        <v>159209</v>
      </c>
      <c r="M52">
        <v>159208.65599999999</v>
      </c>
      <c r="O52" s="7">
        <v>70087.22</v>
      </c>
    </row>
    <row r="53" spans="1:18" x14ac:dyDescent="0.2">
      <c r="A53">
        <v>28</v>
      </c>
      <c r="B53">
        <v>28</v>
      </c>
      <c r="C53" t="s">
        <v>26</v>
      </c>
      <c r="E53" s="5">
        <v>9.01</v>
      </c>
      <c r="F53" t="s">
        <v>17</v>
      </c>
      <c r="G53" s="5">
        <v>200</v>
      </c>
      <c r="H53">
        <v>8.8000000000000007</v>
      </c>
      <c r="I53" t="s">
        <v>53</v>
      </c>
      <c r="J53" s="1">
        <v>217.66579999999999</v>
      </c>
      <c r="K53" s="6">
        <v>157012</v>
      </c>
      <c r="M53">
        <v>157011.78099999999</v>
      </c>
      <c r="O53" s="7">
        <v>189475.649</v>
      </c>
    </row>
    <row r="54" spans="1:18" x14ac:dyDescent="0.2">
      <c r="A54">
        <v>29</v>
      </c>
      <c r="B54">
        <v>29</v>
      </c>
      <c r="C54" t="s">
        <v>27</v>
      </c>
      <c r="E54" s="5">
        <v>9.01</v>
      </c>
      <c r="F54" t="s">
        <v>17</v>
      </c>
      <c r="G54" s="5">
        <v>200</v>
      </c>
      <c r="H54">
        <v>6.1</v>
      </c>
      <c r="I54" t="s">
        <v>53</v>
      </c>
      <c r="J54" s="1">
        <v>212.18860000000001</v>
      </c>
      <c r="K54" s="6">
        <v>153061</v>
      </c>
      <c r="M54">
        <v>153060.82800000001</v>
      </c>
      <c r="O54" s="7">
        <v>44317.902999999998</v>
      </c>
    </row>
    <row r="55" spans="1:18" x14ac:dyDescent="0.2">
      <c r="A55">
        <v>30</v>
      </c>
      <c r="B55">
        <v>30</v>
      </c>
      <c r="C55" t="s">
        <v>28</v>
      </c>
      <c r="E55" s="5">
        <v>9.01</v>
      </c>
      <c r="F55" t="s">
        <v>17</v>
      </c>
      <c r="G55" s="5">
        <v>200</v>
      </c>
      <c r="H55">
        <v>6.7</v>
      </c>
      <c r="I55" t="s">
        <v>53</v>
      </c>
      <c r="J55" s="1">
        <v>213.35220000000001</v>
      </c>
      <c r="K55" s="6">
        <v>153900</v>
      </c>
      <c r="M55">
        <v>153900.25</v>
      </c>
      <c r="O55" s="7">
        <v>77818.964999999997</v>
      </c>
    </row>
    <row r="56" spans="1:18" x14ac:dyDescent="0.2">
      <c r="A56">
        <v>31</v>
      </c>
      <c r="B56">
        <v>31</v>
      </c>
      <c r="C56" t="s">
        <v>29</v>
      </c>
      <c r="E56" s="5">
        <v>9.01</v>
      </c>
      <c r="F56" t="s">
        <v>17</v>
      </c>
      <c r="G56" s="5">
        <v>200</v>
      </c>
      <c r="H56">
        <v>9.1999999999999993</v>
      </c>
      <c r="I56" t="s">
        <v>53</v>
      </c>
      <c r="J56" s="1">
        <v>218.31639999999999</v>
      </c>
      <c r="K56" s="6">
        <v>157481</v>
      </c>
      <c r="M56">
        <v>157481.125</v>
      </c>
      <c r="O56" s="7">
        <v>37933.481</v>
      </c>
    </row>
    <row r="57" spans="1:18" x14ac:dyDescent="0.2">
      <c r="A57">
        <v>32</v>
      </c>
      <c r="B57">
        <v>32</v>
      </c>
      <c r="C57" t="s">
        <v>30</v>
      </c>
      <c r="E57" s="5">
        <v>9.01</v>
      </c>
      <c r="F57" t="s">
        <v>17</v>
      </c>
      <c r="G57" s="5">
        <v>200</v>
      </c>
      <c r="H57">
        <v>7.8</v>
      </c>
      <c r="I57" t="s">
        <v>53</v>
      </c>
      <c r="J57" s="1">
        <v>215.65989999999999</v>
      </c>
      <c r="K57" s="6">
        <v>155565</v>
      </c>
      <c r="M57">
        <v>155564.82800000001</v>
      </c>
      <c r="O57" s="7">
        <v>46639.144999999997</v>
      </c>
    </row>
    <row r="58" spans="1:18" x14ac:dyDescent="0.2">
      <c r="A58">
        <v>33</v>
      </c>
      <c r="B58">
        <v>33</v>
      </c>
      <c r="C58" t="s">
        <v>31</v>
      </c>
      <c r="E58" s="5">
        <v>9.01</v>
      </c>
      <c r="F58" t="s">
        <v>17</v>
      </c>
      <c r="G58" s="5">
        <v>200</v>
      </c>
      <c r="H58">
        <v>16.8</v>
      </c>
      <c r="I58" t="s">
        <v>53</v>
      </c>
      <c r="J58" s="1">
        <v>233.51140000000001</v>
      </c>
      <c r="K58" s="6">
        <v>168442</v>
      </c>
      <c r="M58">
        <v>168441.92199999999</v>
      </c>
      <c r="O58" s="7">
        <v>24519.484</v>
      </c>
      <c r="R58" s="5" t="s">
        <v>62</v>
      </c>
    </row>
    <row r="59" spans="1:18" x14ac:dyDescent="0.2">
      <c r="A59">
        <v>12</v>
      </c>
      <c r="B59">
        <v>12</v>
      </c>
      <c r="C59" t="s">
        <v>32</v>
      </c>
      <c r="E59" s="5">
        <v>9</v>
      </c>
      <c r="F59" t="s">
        <v>33</v>
      </c>
      <c r="G59" s="5">
        <v>200</v>
      </c>
      <c r="H59">
        <v>-100</v>
      </c>
      <c r="I59" t="s">
        <v>53</v>
      </c>
      <c r="J59" s="3">
        <v>2.47E-2</v>
      </c>
      <c r="K59" s="6">
        <v>18</v>
      </c>
      <c r="M59">
        <v>17.798999999999999</v>
      </c>
      <c r="O59" s="7">
        <v>3.8340000000000001</v>
      </c>
      <c r="R59" s="2" t="s">
        <v>59</v>
      </c>
    </row>
    <row r="60" spans="1:18" x14ac:dyDescent="0.2">
      <c r="A60">
        <v>13</v>
      </c>
      <c r="B60">
        <v>13</v>
      </c>
      <c r="C60" t="s">
        <v>34</v>
      </c>
      <c r="E60" s="5">
        <v>9.01</v>
      </c>
      <c r="F60" t="s">
        <v>33</v>
      </c>
      <c r="G60" s="5">
        <v>200</v>
      </c>
      <c r="H60">
        <v>-100</v>
      </c>
      <c r="I60" t="s">
        <v>53</v>
      </c>
      <c r="J60" s="3">
        <v>2.9399999999999999E-2</v>
      </c>
      <c r="K60" s="6">
        <v>21</v>
      </c>
      <c r="M60">
        <v>21.218</v>
      </c>
      <c r="O60" s="7">
        <v>11.561</v>
      </c>
      <c r="R60" s="2" t="s">
        <v>59</v>
      </c>
    </row>
    <row r="61" spans="1:18" x14ac:dyDescent="0.2">
      <c r="A61">
        <v>14</v>
      </c>
      <c r="B61">
        <v>14</v>
      </c>
      <c r="C61" t="s">
        <v>35</v>
      </c>
      <c r="F61" t="s">
        <v>33</v>
      </c>
      <c r="G61" s="5">
        <v>200</v>
      </c>
      <c r="J61" s="3"/>
      <c r="R61" s="2" t="s">
        <v>59</v>
      </c>
    </row>
    <row r="62" spans="1:18" x14ac:dyDescent="0.2">
      <c r="A62">
        <v>15</v>
      </c>
      <c r="B62">
        <v>15</v>
      </c>
      <c r="C62" t="s">
        <v>36</v>
      </c>
      <c r="E62" s="5">
        <v>9</v>
      </c>
      <c r="F62" t="s">
        <v>33</v>
      </c>
      <c r="G62" s="5">
        <v>200</v>
      </c>
      <c r="H62">
        <v>-100</v>
      </c>
      <c r="I62" t="s">
        <v>53</v>
      </c>
      <c r="J62" s="3">
        <v>4.9399999999999999E-2</v>
      </c>
      <c r="K62" s="6">
        <v>36</v>
      </c>
      <c r="M62">
        <v>35.639000000000003</v>
      </c>
      <c r="O62" s="7">
        <v>17.484999999999999</v>
      </c>
      <c r="R62" s="2" t="s">
        <v>59</v>
      </c>
    </row>
    <row r="63" spans="1:18" x14ac:dyDescent="0.2">
      <c r="A63">
        <v>16</v>
      </c>
      <c r="B63">
        <v>16</v>
      </c>
      <c r="C63" t="s">
        <v>37</v>
      </c>
      <c r="E63" s="5">
        <v>9</v>
      </c>
      <c r="F63" t="s">
        <v>33</v>
      </c>
      <c r="G63" s="5">
        <v>200</v>
      </c>
      <c r="H63">
        <v>-100</v>
      </c>
      <c r="I63" t="s">
        <v>53</v>
      </c>
      <c r="J63" s="3">
        <v>2.1499999999999998E-2</v>
      </c>
      <c r="K63" s="6">
        <v>16</v>
      </c>
      <c r="M63">
        <v>15.512</v>
      </c>
      <c r="O63" s="7">
        <v>27.539000000000001</v>
      </c>
      <c r="R63" s="2" t="s">
        <v>59</v>
      </c>
    </row>
    <row r="64" spans="1:18" x14ac:dyDescent="0.2">
      <c r="A64">
        <v>17</v>
      </c>
      <c r="B64">
        <v>17</v>
      </c>
      <c r="C64" t="s">
        <v>38</v>
      </c>
      <c r="F64" t="s">
        <v>33</v>
      </c>
      <c r="G64" s="5">
        <v>200</v>
      </c>
      <c r="J64" s="3"/>
      <c r="R64" s="2" t="s">
        <v>59</v>
      </c>
    </row>
    <row r="65" spans="1:18" x14ac:dyDescent="0.2">
      <c r="A65">
        <v>18</v>
      </c>
      <c r="B65">
        <v>18</v>
      </c>
      <c r="C65" t="s">
        <v>39</v>
      </c>
      <c r="E65" s="5">
        <v>9</v>
      </c>
      <c r="F65" t="s">
        <v>33</v>
      </c>
      <c r="G65" s="5">
        <v>200</v>
      </c>
      <c r="H65">
        <v>-71.3</v>
      </c>
      <c r="I65" t="s">
        <v>53</v>
      </c>
      <c r="J65" s="1">
        <v>57.464700000000001</v>
      </c>
      <c r="K65" s="6">
        <v>41452</v>
      </c>
      <c r="M65">
        <v>41451.796999999999</v>
      </c>
      <c r="O65" s="7">
        <v>41922.536999999997</v>
      </c>
      <c r="R65" s="5">
        <f t="shared" ref="R65:R69" si="3">100+H65</f>
        <v>28.700000000000003</v>
      </c>
    </row>
    <row r="66" spans="1:18" x14ac:dyDescent="0.2">
      <c r="A66">
        <v>19</v>
      </c>
      <c r="B66">
        <v>19</v>
      </c>
      <c r="C66" t="s">
        <v>40</v>
      </c>
      <c r="E66" s="5">
        <v>9</v>
      </c>
      <c r="F66" t="s">
        <v>33</v>
      </c>
      <c r="G66" s="5">
        <v>200</v>
      </c>
      <c r="H66">
        <v>-70.900000000000006</v>
      </c>
      <c r="I66" t="s">
        <v>53</v>
      </c>
      <c r="J66" s="1">
        <v>58.2971</v>
      </c>
      <c r="K66" s="6">
        <v>42052</v>
      </c>
      <c r="M66">
        <v>42052.226999999999</v>
      </c>
      <c r="O66" s="7">
        <v>17241.394</v>
      </c>
      <c r="R66" s="5">
        <f t="shared" si="3"/>
        <v>29.099999999999994</v>
      </c>
    </row>
    <row r="67" spans="1:18" x14ac:dyDescent="0.2">
      <c r="A67">
        <v>20</v>
      </c>
      <c r="B67">
        <v>20</v>
      </c>
      <c r="C67" t="s">
        <v>41</v>
      </c>
      <c r="E67" s="5">
        <v>9</v>
      </c>
      <c r="F67" t="s">
        <v>33</v>
      </c>
      <c r="G67" s="5">
        <v>200</v>
      </c>
      <c r="H67">
        <v>-69.5</v>
      </c>
      <c r="I67" t="s">
        <v>53</v>
      </c>
      <c r="J67" s="1">
        <v>60.932200000000002</v>
      </c>
      <c r="K67" s="6">
        <v>43953</v>
      </c>
      <c r="M67">
        <v>43953.078000000001</v>
      </c>
      <c r="O67" s="7">
        <v>396055.23499999999</v>
      </c>
      <c r="R67" s="5">
        <f t="shared" si="3"/>
        <v>30.5</v>
      </c>
    </row>
    <row r="68" spans="1:18" x14ac:dyDescent="0.2">
      <c r="A68">
        <v>21</v>
      </c>
      <c r="B68">
        <v>21</v>
      </c>
      <c r="C68" t="s">
        <v>42</v>
      </c>
      <c r="E68" s="5">
        <v>9</v>
      </c>
      <c r="F68" t="s">
        <v>33</v>
      </c>
      <c r="G68" s="5">
        <v>200</v>
      </c>
      <c r="H68">
        <v>-65.099999999999994</v>
      </c>
      <c r="I68" t="s">
        <v>53</v>
      </c>
      <c r="J68" s="1">
        <v>69.710499999999996</v>
      </c>
      <c r="K68" s="6">
        <v>50285</v>
      </c>
      <c r="M68">
        <v>50285.203000000001</v>
      </c>
      <c r="O68" s="7">
        <v>20673.71</v>
      </c>
      <c r="R68" s="5">
        <f t="shared" si="3"/>
        <v>34.900000000000006</v>
      </c>
    </row>
    <row r="69" spans="1:18" x14ac:dyDescent="0.2">
      <c r="A69">
        <v>22</v>
      </c>
      <c r="B69">
        <v>22</v>
      </c>
      <c r="C69" t="s">
        <v>43</v>
      </c>
      <c r="E69" s="5">
        <v>9</v>
      </c>
      <c r="F69" t="s">
        <v>33</v>
      </c>
      <c r="G69" s="5">
        <v>200</v>
      </c>
      <c r="H69">
        <v>-62.3</v>
      </c>
      <c r="I69" t="s">
        <v>53</v>
      </c>
      <c r="J69" s="1">
        <v>75.389899999999997</v>
      </c>
      <c r="K69" s="6">
        <v>54382</v>
      </c>
      <c r="M69">
        <v>54381.995999999999</v>
      </c>
      <c r="O69" s="7">
        <v>8518.2389999999996</v>
      </c>
      <c r="R69" s="5">
        <f t="shared" si="3"/>
        <v>37.700000000000003</v>
      </c>
    </row>
    <row r="70" spans="1:18" x14ac:dyDescent="0.2">
      <c r="A70">
        <v>8</v>
      </c>
      <c r="B70">
        <v>8</v>
      </c>
      <c r="C70" t="s">
        <v>44</v>
      </c>
      <c r="E70" s="5">
        <v>9.01</v>
      </c>
      <c r="G70" s="5">
        <v>200</v>
      </c>
      <c r="H70">
        <v>-99.9</v>
      </c>
      <c r="I70" t="s">
        <v>53</v>
      </c>
      <c r="J70" s="1">
        <v>0.16400000000000001</v>
      </c>
      <c r="K70" s="6">
        <v>118</v>
      </c>
      <c r="M70">
        <v>118.32899999999999</v>
      </c>
      <c r="O70" s="7">
        <v>51.826999999999998</v>
      </c>
    </row>
    <row r="71" spans="1:18" x14ac:dyDescent="0.2">
      <c r="A71">
        <v>9</v>
      </c>
      <c r="B71">
        <v>9</v>
      </c>
      <c r="C71" t="s">
        <v>45</v>
      </c>
      <c r="E71" s="5">
        <v>9.01</v>
      </c>
      <c r="G71" s="5">
        <v>200</v>
      </c>
      <c r="H71">
        <v>-100</v>
      </c>
      <c r="I71" t="s">
        <v>53</v>
      </c>
      <c r="J71" s="1">
        <v>7.0999999999999994E-2</v>
      </c>
      <c r="K71" s="6">
        <v>51</v>
      </c>
      <c r="M71">
        <v>51.231000000000002</v>
      </c>
      <c r="O71" s="7">
        <v>23.321000000000002</v>
      </c>
    </row>
    <row r="72" spans="1:18" x14ac:dyDescent="0.2">
      <c r="A72">
        <v>10</v>
      </c>
      <c r="B72">
        <v>10</v>
      </c>
      <c r="C72" t="s">
        <v>46</v>
      </c>
      <c r="G72" s="5">
        <v>200</v>
      </c>
    </row>
    <row r="73" spans="1:18" x14ac:dyDescent="0.2">
      <c r="A73">
        <v>11</v>
      </c>
      <c r="B73">
        <v>11</v>
      </c>
      <c r="C73" t="s">
        <v>47</v>
      </c>
      <c r="G73" s="5">
        <v>200</v>
      </c>
    </row>
    <row r="74" spans="1:18" x14ac:dyDescent="0.2">
      <c r="A74">
        <v>23</v>
      </c>
      <c r="B74">
        <v>23</v>
      </c>
      <c r="C74" t="s">
        <v>48</v>
      </c>
      <c r="E74" s="5">
        <v>9.01</v>
      </c>
      <c r="G74" s="5">
        <v>200</v>
      </c>
      <c r="H74">
        <v>-100</v>
      </c>
      <c r="I74" t="s">
        <v>53</v>
      </c>
      <c r="J74" s="1">
        <v>8.2199999999999995E-2</v>
      </c>
      <c r="K74" s="6">
        <v>59</v>
      </c>
      <c r="M74">
        <v>59.277999999999999</v>
      </c>
      <c r="O74" s="7">
        <v>4.8140000000000001</v>
      </c>
    </row>
    <row r="75" spans="1:18" x14ac:dyDescent="0.2">
      <c r="A75">
        <v>24</v>
      </c>
      <c r="B75">
        <v>24</v>
      </c>
      <c r="C75" t="s">
        <v>49</v>
      </c>
      <c r="G75" s="5">
        <v>200</v>
      </c>
    </row>
    <row r="76" spans="1:18" x14ac:dyDescent="0.2">
      <c r="A76">
        <v>25</v>
      </c>
      <c r="B76">
        <v>25</v>
      </c>
      <c r="C76" t="s">
        <v>50</v>
      </c>
      <c r="G76" s="5">
        <v>200</v>
      </c>
    </row>
    <row r="77" spans="1:18" x14ac:dyDescent="0.2">
      <c r="A77">
        <v>26</v>
      </c>
      <c r="B77">
        <v>26</v>
      </c>
      <c r="C77" t="s">
        <v>51</v>
      </c>
      <c r="G77" s="5">
        <v>200</v>
      </c>
    </row>
    <row r="79" spans="1:18" x14ac:dyDescent="0.2">
      <c r="A79" t="s">
        <v>54</v>
      </c>
    </row>
    <row r="81" spans="1:21" x14ac:dyDescent="0.2">
      <c r="B81" t="s">
        <v>3</v>
      </c>
      <c r="C81" t="s">
        <v>4</v>
      </c>
      <c r="D81" t="s">
        <v>5</v>
      </c>
      <c r="E81" s="5" t="s">
        <v>6</v>
      </c>
      <c r="F81" t="s">
        <v>7</v>
      </c>
      <c r="G81" s="5" t="s">
        <v>58</v>
      </c>
      <c r="H81" t="s">
        <v>8</v>
      </c>
      <c r="I81" t="s">
        <v>9</v>
      </c>
      <c r="J81" s="1" t="s">
        <v>60</v>
      </c>
      <c r="K81" s="6" t="s">
        <v>10</v>
      </c>
      <c r="L81" s="6" t="s">
        <v>11</v>
      </c>
      <c r="M81" t="s">
        <v>12</v>
      </c>
      <c r="N81" s="6" t="s">
        <v>13</v>
      </c>
      <c r="O81" s="7" t="s">
        <v>14</v>
      </c>
      <c r="P81" t="s">
        <v>15</v>
      </c>
    </row>
    <row r="82" spans="1:21" x14ac:dyDescent="0.2">
      <c r="A82">
        <v>1</v>
      </c>
      <c r="B82">
        <v>1</v>
      </c>
      <c r="C82" t="s">
        <v>16</v>
      </c>
      <c r="E82" s="5">
        <v>8.0399999999999991</v>
      </c>
      <c r="F82" t="s">
        <v>17</v>
      </c>
      <c r="G82" s="5">
        <v>0.15</v>
      </c>
      <c r="H82">
        <v>-3.5</v>
      </c>
      <c r="I82" t="s">
        <v>18</v>
      </c>
      <c r="J82" s="1">
        <v>0.1447</v>
      </c>
      <c r="K82" s="6">
        <v>10083</v>
      </c>
      <c r="L82" s="6">
        <v>8142586</v>
      </c>
      <c r="M82">
        <v>0.248</v>
      </c>
      <c r="N82" s="6">
        <v>17139</v>
      </c>
      <c r="O82" s="7">
        <v>2720.3139999999999</v>
      </c>
      <c r="P82">
        <v>0.58799999999999997</v>
      </c>
    </row>
    <row r="83" spans="1:21" x14ac:dyDescent="0.2">
      <c r="A83">
        <v>2</v>
      </c>
      <c r="B83">
        <v>2</v>
      </c>
      <c r="C83" t="s">
        <v>19</v>
      </c>
      <c r="E83" s="5">
        <v>8.0500000000000007</v>
      </c>
      <c r="F83" t="s">
        <v>17</v>
      </c>
      <c r="G83" s="5">
        <v>0.5</v>
      </c>
      <c r="H83">
        <v>1.2</v>
      </c>
      <c r="I83" t="s">
        <v>18</v>
      </c>
      <c r="J83" s="1">
        <v>0.50590000000000002</v>
      </c>
      <c r="K83" s="6">
        <v>26154</v>
      </c>
      <c r="L83" s="6">
        <v>8136792</v>
      </c>
      <c r="M83">
        <v>0.64300000000000002</v>
      </c>
      <c r="N83" s="6">
        <v>20193</v>
      </c>
      <c r="O83" s="7">
        <v>3802.5819999999999</v>
      </c>
      <c r="P83">
        <v>1.2949999999999999</v>
      </c>
    </row>
    <row r="84" spans="1:21" x14ac:dyDescent="0.2">
      <c r="A84">
        <v>3</v>
      </c>
      <c r="B84">
        <v>3</v>
      </c>
      <c r="C84" t="s">
        <v>20</v>
      </c>
      <c r="E84" s="5">
        <v>8.0500000000000007</v>
      </c>
      <c r="F84" t="s">
        <v>17</v>
      </c>
      <c r="G84" s="5">
        <v>2</v>
      </c>
      <c r="H84">
        <v>1.7</v>
      </c>
      <c r="I84" t="s">
        <v>18</v>
      </c>
      <c r="J84" s="1">
        <v>2.0348999999999999</v>
      </c>
      <c r="K84" s="6">
        <v>101744</v>
      </c>
      <c r="L84" s="6">
        <v>8790450</v>
      </c>
      <c r="M84">
        <v>2.3149999999999999</v>
      </c>
      <c r="N84" s="6">
        <v>38686</v>
      </c>
      <c r="O84" s="7">
        <v>1850.087</v>
      </c>
      <c r="P84">
        <v>2.63</v>
      </c>
    </row>
    <row r="85" spans="1:21" x14ac:dyDescent="0.2">
      <c r="A85">
        <v>4</v>
      </c>
      <c r="B85">
        <v>4</v>
      </c>
      <c r="C85" t="s">
        <v>21</v>
      </c>
      <c r="E85" s="5">
        <v>8.0500000000000007</v>
      </c>
      <c r="F85" t="s">
        <v>17</v>
      </c>
      <c r="G85" s="5">
        <v>20.100000000000001</v>
      </c>
      <c r="H85">
        <v>3.7</v>
      </c>
      <c r="I85" t="s">
        <v>18</v>
      </c>
      <c r="J85" s="1">
        <v>20.845700000000001</v>
      </c>
      <c r="K85" s="6">
        <v>1001074</v>
      </c>
      <c r="L85" s="6">
        <v>8810274</v>
      </c>
      <c r="M85">
        <v>22.725000000000001</v>
      </c>
      <c r="N85" s="6">
        <v>235663</v>
      </c>
      <c r="O85" s="7">
        <v>40846.538</v>
      </c>
      <c r="P85">
        <v>4.2480000000000002</v>
      </c>
    </row>
    <row r="86" spans="1:21" x14ac:dyDescent="0.2">
      <c r="A86">
        <v>5</v>
      </c>
      <c r="B86">
        <v>5</v>
      </c>
      <c r="C86" t="s">
        <v>22</v>
      </c>
      <c r="E86" s="5">
        <v>8.0500000000000007</v>
      </c>
      <c r="F86" t="s">
        <v>17</v>
      </c>
      <c r="G86" s="5">
        <v>50.2</v>
      </c>
      <c r="H86">
        <v>0.4</v>
      </c>
      <c r="I86" t="s">
        <v>18</v>
      </c>
      <c r="J86" s="1">
        <v>50.385599999999997</v>
      </c>
      <c r="K86" s="6">
        <v>2420908</v>
      </c>
      <c r="L86" s="6">
        <v>8936758</v>
      </c>
      <c r="M86">
        <v>54.179000000000002</v>
      </c>
      <c r="N86" s="6">
        <v>546513</v>
      </c>
      <c r="O86" s="7">
        <v>45733148</v>
      </c>
      <c r="P86">
        <v>4.43</v>
      </c>
    </row>
    <row r="87" spans="1:21" x14ac:dyDescent="0.2">
      <c r="A87">
        <v>6</v>
      </c>
      <c r="B87">
        <v>6</v>
      </c>
      <c r="C87" t="s">
        <v>23</v>
      </c>
      <c r="E87" s="5">
        <v>8.0399999999999991</v>
      </c>
      <c r="F87" t="s">
        <v>17</v>
      </c>
      <c r="G87" s="5">
        <v>100.4</v>
      </c>
      <c r="H87">
        <v>0.7</v>
      </c>
      <c r="I87" t="s">
        <v>18</v>
      </c>
      <c r="J87" s="1">
        <v>101.0808</v>
      </c>
      <c r="K87" s="6">
        <v>4845321</v>
      </c>
      <c r="L87" s="6">
        <v>9103074</v>
      </c>
      <c r="M87">
        <v>106.455</v>
      </c>
      <c r="N87" s="6">
        <v>1079267</v>
      </c>
      <c r="O87" s="7">
        <v>90549336</v>
      </c>
      <c r="P87">
        <v>4.49</v>
      </c>
    </row>
    <row r="88" spans="1:21" x14ac:dyDescent="0.2">
      <c r="A88">
        <v>7</v>
      </c>
      <c r="B88">
        <v>7</v>
      </c>
      <c r="C88" t="s">
        <v>24</v>
      </c>
      <c r="E88" s="5">
        <v>8.0399999999999991</v>
      </c>
      <c r="F88" t="s">
        <v>17</v>
      </c>
      <c r="G88" s="5">
        <v>301.2</v>
      </c>
      <c r="H88">
        <v>0.8</v>
      </c>
      <c r="I88" t="s">
        <v>18</v>
      </c>
      <c r="J88" s="1">
        <v>303.66489999999999</v>
      </c>
      <c r="K88" s="6">
        <v>12812490</v>
      </c>
      <c r="L88" s="6">
        <v>8719909</v>
      </c>
      <c r="M88">
        <v>293.86799999999999</v>
      </c>
      <c r="N88" s="6">
        <v>2898408</v>
      </c>
      <c r="O88" s="7">
        <v>233539696</v>
      </c>
      <c r="P88">
        <v>4.42</v>
      </c>
    </row>
    <row r="89" spans="1:21" x14ac:dyDescent="0.2">
      <c r="A89">
        <v>27</v>
      </c>
      <c r="B89">
        <v>27</v>
      </c>
      <c r="C89" t="s">
        <v>25</v>
      </c>
      <c r="E89" s="5">
        <v>8.0299999999999994</v>
      </c>
      <c r="F89" t="s">
        <v>17</v>
      </c>
      <c r="G89" s="5">
        <v>0.15</v>
      </c>
      <c r="H89">
        <v>-1.8</v>
      </c>
      <c r="I89" t="s">
        <v>18</v>
      </c>
      <c r="J89" s="1">
        <v>0.14729999999999999</v>
      </c>
      <c r="K89" s="6">
        <v>10926</v>
      </c>
      <c r="L89" s="6">
        <v>8725242</v>
      </c>
      <c r="M89">
        <v>0.25</v>
      </c>
      <c r="N89" s="6">
        <v>20434</v>
      </c>
      <c r="O89" s="7">
        <v>261.22800000000001</v>
      </c>
      <c r="P89">
        <v>0.53500000000000003</v>
      </c>
    </row>
    <row r="90" spans="1:21" x14ac:dyDescent="0.2">
      <c r="A90">
        <v>28</v>
      </c>
      <c r="B90">
        <v>28</v>
      </c>
      <c r="C90" t="s">
        <v>26</v>
      </c>
      <c r="E90" s="5">
        <v>8.0399999999999991</v>
      </c>
      <c r="F90" t="s">
        <v>17</v>
      </c>
      <c r="G90" s="5">
        <v>0.5</v>
      </c>
      <c r="H90">
        <v>-1</v>
      </c>
      <c r="I90" t="s">
        <v>18</v>
      </c>
      <c r="J90" s="1">
        <v>0.49519999999999997</v>
      </c>
      <c r="K90" s="6">
        <v>26931</v>
      </c>
      <c r="L90" s="6">
        <v>8533481</v>
      </c>
      <c r="M90">
        <v>0.63100000000000001</v>
      </c>
      <c r="N90" s="6">
        <v>23182</v>
      </c>
      <c r="O90" s="7">
        <v>1467.402</v>
      </c>
      <c r="P90">
        <v>1.1619999999999999</v>
      </c>
    </row>
    <row r="91" spans="1:21" x14ac:dyDescent="0.2">
      <c r="A91">
        <v>29</v>
      </c>
      <c r="B91">
        <v>29</v>
      </c>
      <c r="C91" t="s">
        <v>27</v>
      </c>
      <c r="E91" s="5">
        <v>8.0399999999999991</v>
      </c>
      <c r="F91" t="s">
        <v>17</v>
      </c>
      <c r="G91" s="5">
        <v>2</v>
      </c>
      <c r="H91">
        <v>-0.5</v>
      </c>
      <c r="I91" t="s">
        <v>18</v>
      </c>
      <c r="J91" s="1">
        <v>1.9899</v>
      </c>
      <c r="K91" s="6">
        <v>96498</v>
      </c>
      <c r="L91" s="6">
        <v>8517984</v>
      </c>
      <c r="M91">
        <v>2.266</v>
      </c>
      <c r="N91" s="6">
        <v>38527</v>
      </c>
      <c r="O91" s="7">
        <v>4930.6379999999999</v>
      </c>
      <c r="P91">
        <v>2.5049999999999999</v>
      </c>
    </row>
    <row r="92" spans="1:21" x14ac:dyDescent="0.2">
      <c r="A92">
        <v>30</v>
      </c>
      <c r="B92">
        <v>30</v>
      </c>
      <c r="C92" t="s">
        <v>28</v>
      </c>
      <c r="E92" s="5">
        <v>8.0399999999999991</v>
      </c>
      <c r="F92" t="s">
        <v>17</v>
      </c>
      <c r="G92" s="5">
        <v>20.100000000000001</v>
      </c>
      <c r="H92">
        <v>2.1</v>
      </c>
      <c r="I92" t="s">
        <v>18</v>
      </c>
      <c r="J92" s="1">
        <v>20.527999999999999</v>
      </c>
      <c r="K92" s="6">
        <v>945026</v>
      </c>
      <c r="L92" s="6">
        <v>8444180</v>
      </c>
      <c r="M92">
        <v>22.382999999999999</v>
      </c>
      <c r="N92" s="6">
        <v>227003</v>
      </c>
      <c r="O92" s="7">
        <v>114042.175</v>
      </c>
      <c r="P92">
        <v>4.1630000000000003</v>
      </c>
    </row>
    <row r="93" spans="1:21" x14ac:dyDescent="0.2">
      <c r="A93">
        <v>31</v>
      </c>
      <c r="B93">
        <v>31</v>
      </c>
      <c r="C93" t="s">
        <v>29</v>
      </c>
      <c r="E93" s="5">
        <v>8.0399999999999991</v>
      </c>
      <c r="F93" t="s">
        <v>17</v>
      </c>
      <c r="G93" s="5">
        <v>50.2</v>
      </c>
      <c r="H93">
        <v>-1.3</v>
      </c>
      <c r="I93" t="s">
        <v>18</v>
      </c>
      <c r="J93" s="1">
        <v>49.522599999999997</v>
      </c>
      <c r="K93" s="6">
        <v>2250820</v>
      </c>
      <c r="L93" s="6">
        <v>8450588</v>
      </c>
      <c r="M93">
        <v>53.27</v>
      </c>
      <c r="N93" s="6">
        <v>517826</v>
      </c>
      <c r="O93" s="7">
        <v>96004.327999999994</v>
      </c>
      <c r="P93">
        <v>4.3470000000000004</v>
      </c>
    </row>
    <row r="94" spans="1:21" x14ac:dyDescent="0.2">
      <c r="A94">
        <v>32</v>
      </c>
      <c r="B94">
        <v>32</v>
      </c>
      <c r="C94" t="s">
        <v>30</v>
      </c>
      <c r="E94" s="5">
        <v>8.0399999999999991</v>
      </c>
      <c r="F94" t="s">
        <v>17</v>
      </c>
      <c r="G94" s="5">
        <v>100.4</v>
      </c>
      <c r="H94">
        <v>-1.8</v>
      </c>
      <c r="I94" t="s">
        <v>18</v>
      </c>
      <c r="J94" s="1">
        <v>98.580799999999996</v>
      </c>
      <c r="K94" s="6">
        <v>4274895</v>
      </c>
      <c r="L94" s="6">
        <v>8226719</v>
      </c>
      <c r="M94">
        <v>103.92700000000001</v>
      </c>
      <c r="N94" s="6">
        <v>985889</v>
      </c>
      <c r="O94" s="7">
        <v>423049.09299999999</v>
      </c>
      <c r="P94">
        <v>4.3360000000000003</v>
      </c>
    </row>
    <row r="95" spans="1:21" x14ac:dyDescent="0.2">
      <c r="A95">
        <v>33</v>
      </c>
      <c r="B95">
        <v>33</v>
      </c>
      <c r="C95" t="s">
        <v>31</v>
      </c>
      <c r="E95" s="5">
        <v>8.0299999999999994</v>
      </c>
      <c r="F95" t="s">
        <v>17</v>
      </c>
      <c r="G95" s="5">
        <v>301.2</v>
      </c>
      <c r="H95">
        <v>-0.7</v>
      </c>
      <c r="I95" t="s">
        <v>18</v>
      </c>
      <c r="J95" s="1">
        <v>299.19799999999998</v>
      </c>
      <c r="K95" s="6">
        <v>11920873</v>
      </c>
      <c r="L95" s="6">
        <v>8218294</v>
      </c>
      <c r="M95">
        <v>290.10599999999999</v>
      </c>
      <c r="N95" s="6">
        <v>2732903</v>
      </c>
      <c r="O95" s="7">
        <v>2194150.9550000001</v>
      </c>
      <c r="P95">
        <v>4.3620000000000001</v>
      </c>
      <c r="R95" s="5" t="s">
        <v>61</v>
      </c>
      <c r="S95" t="s">
        <v>65</v>
      </c>
      <c r="T95" s="5" t="s">
        <v>67</v>
      </c>
      <c r="U95" s="5" t="s">
        <v>80</v>
      </c>
    </row>
    <row r="96" spans="1:21" x14ac:dyDescent="0.2">
      <c r="A96">
        <v>12</v>
      </c>
      <c r="B96">
        <v>12</v>
      </c>
      <c r="C96" t="s">
        <v>32</v>
      </c>
      <c r="D96" t="s">
        <v>63</v>
      </c>
      <c r="E96" s="5">
        <v>8.0299999999999994</v>
      </c>
      <c r="F96" t="s">
        <v>33</v>
      </c>
      <c r="I96" t="s">
        <v>18</v>
      </c>
      <c r="J96" s="1">
        <v>177.15989999999999</v>
      </c>
      <c r="K96" s="6">
        <v>6732133</v>
      </c>
      <c r="L96" s="6">
        <v>7444304</v>
      </c>
      <c r="M96">
        <v>180.86699999999999</v>
      </c>
      <c r="N96" s="6">
        <v>1507357</v>
      </c>
      <c r="O96" s="7">
        <v>860940.81099999999</v>
      </c>
      <c r="P96">
        <v>4.4660000000000002</v>
      </c>
      <c r="R96" s="5">
        <v>4.9640000000000004</v>
      </c>
      <c r="S96" s="11">
        <f>(J96*10*2/1000)*9/8</f>
        <v>3.9860977499999999</v>
      </c>
      <c r="T96" s="12">
        <f>(S96*1000/5)/1000</f>
        <v>0.79721955</v>
      </c>
      <c r="U96" s="5">
        <f t="shared" ref="U96:U101" si="4">100+H133</f>
        <v>87</v>
      </c>
    </row>
    <row r="97" spans="1:21" x14ac:dyDescent="0.2">
      <c r="A97">
        <v>13</v>
      </c>
      <c r="B97">
        <v>13</v>
      </c>
      <c r="C97" t="s">
        <v>34</v>
      </c>
      <c r="D97" t="s">
        <v>63</v>
      </c>
      <c r="E97" s="5">
        <v>8.0299999999999994</v>
      </c>
      <c r="F97" t="s">
        <v>33</v>
      </c>
      <c r="I97" t="s">
        <v>18</v>
      </c>
      <c r="J97" s="8">
        <v>765.88019999999995</v>
      </c>
      <c r="K97" s="9">
        <v>21198462</v>
      </c>
      <c r="L97" s="6">
        <v>7152148</v>
      </c>
      <c r="M97" s="10">
        <v>592.78599999999994</v>
      </c>
      <c r="N97" s="6">
        <v>4990696</v>
      </c>
      <c r="O97" s="7">
        <v>1796961.8929999999</v>
      </c>
      <c r="P97">
        <v>4.2480000000000002</v>
      </c>
      <c r="R97" s="5">
        <v>5.0911999999999997</v>
      </c>
      <c r="S97" s="15" t="s">
        <v>66</v>
      </c>
      <c r="T97" s="12"/>
      <c r="U97" s="5">
        <f t="shared" si="4"/>
        <v>83.6</v>
      </c>
    </row>
    <row r="98" spans="1:21" x14ac:dyDescent="0.2">
      <c r="A98">
        <v>14</v>
      </c>
      <c r="B98">
        <v>14</v>
      </c>
      <c r="C98" t="s">
        <v>35</v>
      </c>
      <c r="D98" t="s">
        <v>63</v>
      </c>
      <c r="E98" s="5">
        <v>8.0299999999999994</v>
      </c>
      <c r="F98" t="s">
        <v>33</v>
      </c>
      <c r="I98" t="s">
        <v>18</v>
      </c>
      <c r="J98" s="1">
        <v>157.68109999999999</v>
      </c>
      <c r="K98" s="6">
        <v>5942779</v>
      </c>
      <c r="L98" s="6">
        <v>7324267</v>
      </c>
      <c r="M98">
        <v>162.27600000000001</v>
      </c>
      <c r="N98" s="6">
        <v>1339631</v>
      </c>
      <c r="O98" s="7">
        <v>341306.32699999999</v>
      </c>
      <c r="P98">
        <v>4.4359999999999999</v>
      </c>
      <c r="R98" s="5">
        <v>4.9481000000000002</v>
      </c>
      <c r="S98" s="11">
        <f t="shared" ref="S98:S100" si="5">(J98*10*2/1000)*9/8</f>
        <v>3.5478247499999997</v>
      </c>
      <c r="T98" s="12">
        <f t="shared" ref="T98:T101" si="6">(S98*1000/5)/1000</f>
        <v>0.70956494999999997</v>
      </c>
      <c r="U98" s="5">
        <f t="shared" si="4"/>
        <v>85.6</v>
      </c>
    </row>
    <row r="99" spans="1:21" x14ac:dyDescent="0.2">
      <c r="A99">
        <v>15</v>
      </c>
      <c r="B99">
        <v>15</v>
      </c>
      <c r="C99" t="s">
        <v>36</v>
      </c>
      <c r="D99" t="s">
        <v>63</v>
      </c>
      <c r="E99" s="5">
        <v>8.0299999999999994</v>
      </c>
      <c r="F99" t="s">
        <v>33</v>
      </c>
      <c r="I99" t="s">
        <v>18</v>
      </c>
      <c r="J99" s="1">
        <v>174.721</v>
      </c>
      <c r="K99" s="6">
        <v>6705247</v>
      </c>
      <c r="L99" s="6">
        <v>7510505</v>
      </c>
      <c r="M99">
        <v>178.55600000000001</v>
      </c>
      <c r="N99" s="6">
        <v>1511355</v>
      </c>
      <c r="O99" s="7">
        <v>399892.75400000002</v>
      </c>
      <c r="P99">
        <v>4.4370000000000003</v>
      </c>
      <c r="R99" s="5">
        <v>5.0441000000000003</v>
      </c>
      <c r="S99" s="11">
        <f t="shared" si="5"/>
        <v>3.9312224999999996</v>
      </c>
      <c r="T99" s="12">
        <f t="shared" si="6"/>
        <v>0.7862444999999999</v>
      </c>
      <c r="U99" s="5">
        <f t="shared" si="4"/>
        <v>87.8</v>
      </c>
    </row>
    <row r="100" spans="1:21" x14ac:dyDescent="0.2">
      <c r="A100">
        <v>16</v>
      </c>
      <c r="B100">
        <v>16</v>
      </c>
      <c r="C100" t="s">
        <v>37</v>
      </c>
      <c r="D100" t="s">
        <v>63</v>
      </c>
      <c r="E100" s="5">
        <v>8.0299999999999994</v>
      </c>
      <c r="F100" t="s">
        <v>33</v>
      </c>
      <c r="I100" t="s">
        <v>18</v>
      </c>
      <c r="J100" s="1">
        <v>245.142</v>
      </c>
      <c r="K100" s="6">
        <v>9130678</v>
      </c>
      <c r="L100" s="6">
        <v>7506992</v>
      </c>
      <c r="M100">
        <v>243.25800000000001</v>
      </c>
      <c r="N100" s="6">
        <v>2099281</v>
      </c>
      <c r="O100" s="7">
        <v>1899492.5020000001</v>
      </c>
      <c r="P100">
        <v>4.3490000000000002</v>
      </c>
      <c r="R100" s="5">
        <v>5.0976999999999997</v>
      </c>
      <c r="S100" s="11">
        <f t="shared" si="5"/>
        <v>5.515695</v>
      </c>
      <c r="T100" s="12">
        <f t="shared" si="6"/>
        <v>1.1031389999999999</v>
      </c>
      <c r="U100" s="5">
        <f t="shared" si="4"/>
        <v>87.8</v>
      </c>
    </row>
    <row r="101" spans="1:21" x14ac:dyDescent="0.2">
      <c r="A101">
        <v>17</v>
      </c>
      <c r="B101">
        <v>17</v>
      </c>
      <c r="C101" t="s">
        <v>38</v>
      </c>
      <c r="D101" t="s">
        <v>64</v>
      </c>
      <c r="E101" s="5">
        <v>8.0299999999999994</v>
      </c>
      <c r="F101" t="s">
        <v>33</v>
      </c>
      <c r="I101" t="s">
        <v>18</v>
      </c>
      <c r="J101" s="1">
        <v>314.64269999999999</v>
      </c>
      <c r="K101" s="6">
        <v>9511214</v>
      </c>
      <c r="L101" s="6">
        <v>3138586</v>
      </c>
      <c r="M101">
        <v>303.041</v>
      </c>
      <c r="N101" s="6">
        <v>2223094</v>
      </c>
      <c r="O101" s="7">
        <v>1055769.79</v>
      </c>
      <c r="P101">
        <v>4.2779999999999996</v>
      </c>
      <c r="R101" s="5">
        <v>5.0911999999999997</v>
      </c>
      <c r="S101" s="11">
        <f>(J101*20*2/1000)*9/8</f>
        <v>14.158921499999998</v>
      </c>
      <c r="T101" s="12">
        <f t="shared" si="6"/>
        <v>2.8317842999999998</v>
      </c>
      <c r="U101" s="5">
        <f t="shared" si="4"/>
        <v>73.400000000000006</v>
      </c>
    </row>
    <row r="102" spans="1:21" x14ac:dyDescent="0.2">
      <c r="A102">
        <v>18</v>
      </c>
      <c r="B102">
        <v>18</v>
      </c>
      <c r="C102" t="s">
        <v>39</v>
      </c>
      <c r="E102" s="5">
        <v>8.02</v>
      </c>
      <c r="F102" t="s">
        <v>33</v>
      </c>
      <c r="I102" t="s">
        <v>18</v>
      </c>
      <c r="J102" s="4"/>
      <c r="K102" s="6">
        <v>56530</v>
      </c>
      <c r="L102" s="6">
        <v>33119</v>
      </c>
      <c r="N102" s="6">
        <v>12994</v>
      </c>
      <c r="O102" s="7">
        <v>5966.9260000000004</v>
      </c>
      <c r="P102">
        <v>4.3499999999999996</v>
      </c>
      <c r="R102" s="5">
        <v>5.0968</v>
      </c>
      <c r="U102" s="2" t="s">
        <v>59</v>
      </c>
    </row>
    <row r="103" spans="1:21" x14ac:dyDescent="0.2">
      <c r="A103">
        <v>19</v>
      </c>
      <c r="B103">
        <v>19</v>
      </c>
      <c r="C103" t="s">
        <v>40</v>
      </c>
      <c r="E103" s="5">
        <v>8.0299999999999994</v>
      </c>
      <c r="F103" t="s">
        <v>33</v>
      </c>
      <c r="I103" t="s">
        <v>18</v>
      </c>
      <c r="J103" s="4"/>
      <c r="K103" s="6">
        <v>17029</v>
      </c>
      <c r="L103" s="6">
        <v>6138</v>
      </c>
      <c r="N103" s="6">
        <v>3895</v>
      </c>
      <c r="O103" s="7">
        <v>649.822</v>
      </c>
      <c r="P103">
        <v>4.3719999999999999</v>
      </c>
      <c r="R103" s="5">
        <v>5.0369999999999999</v>
      </c>
      <c r="U103" s="2" t="s">
        <v>59</v>
      </c>
    </row>
    <row r="104" spans="1:21" x14ac:dyDescent="0.2">
      <c r="A104">
        <v>20</v>
      </c>
      <c r="B104">
        <v>20</v>
      </c>
      <c r="C104" t="s">
        <v>41</v>
      </c>
      <c r="E104" s="5">
        <v>8.02</v>
      </c>
      <c r="F104" t="s">
        <v>33</v>
      </c>
      <c r="I104" t="s">
        <v>18</v>
      </c>
      <c r="J104" s="4"/>
      <c r="K104" s="6">
        <v>22467</v>
      </c>
      <c r="L104" s="6">
        <v>5640</v>
      </c>
      <c r="N104" s="6">
        <v>5221</v>
      </c>
      <c r="O104" s="7">
        <v>987.12599999999998</v>
      </c>
      <c r="P104">
        <v>4.3029999999999999</v>
      </c>
      <c r="R104" s="5">
        <v>5.0720999999999998</v>
      </c>
      <c r="U104" s="2" t="s">
        <v>59</v>
      </c>
    </row>
    <row r="105" spans="1:21" x14ac:dyDescent="0.2">
      <c r="A105">
        <v>21</v>
      </c>
      <c r="B105">
        <v>21</v>
      </c>
      <c r="C105" t="s">
        <v>42</v>
      </c>
      <c r="E105" s="5">
        <v>8.02</v>
      </c>
      <c r="F105" t="s">
        <v>33</v>
      </c>
      <c r="I105" t="s">
        <v>18</v>
      </c>
      <c r="J105" s="4"/>
      <c r="K105" s="6">
        <v>32583</v>
      </c>
      <c r="L105" s="6">
        <v>12580</v>
      </c>
      <c r="N105" s="6">
        <v>7535</v>
      </c>
      <c r="O105" s="7">
        <v>1024.1410000000001</v>
      </c>
      <c r="P105">
        <v>4.3239999999999998</v>
      </c>
      <c r="R105" s="5">
        <v>4.9245000000000001</v>
      </c>
      <c r="U105" s="2" t="s">
        <v>59</v>
      </c>
    </row>
    <row r="106" spans="1:21" x14ac:dyDescent="0.2">
      <c r="A106">
        <v>22</v>
      </c>
      <c r="B106">
        <v>22</v>
      </c>
      <c r="C106" t="s">
        <v>43</v>
      </c>
      <c r="E106" s="5">
        <v>8.02</v>
      </c>
      <c r="F106" t="s">
        <v>33</v>
      </c>
      <c r="I106" t="s">
        <v>18</v>
      </c>
      <c r="J106" s="4"/>
      <c r="K106" s="6">
        <v>15785</v>
      </c>
      <c r="L106" s="6">
        <v>2578</v>
      </c>
      <c r="N106" s="6">
        <v>3610</v>
      </c>
      <c r="O106" s="7">
        <v>987.02</v>
      </c>
      <c r="P106">
        <v>4.3730000000000002</v>
      </c>
      <c r="R106" s="5">
        <v>4.9744000000000002</v>
      </c>
      <c r="U106" s="2" t="s">
        <v>59</v>
      </c>
    </row>
    <row r="107" spans="1:21" x14ac:dyDescent="0.2">
      <c r="A107">
        <v>8</v>
      </c>
      <c r="B107">
        <v>8</v>
      </c>
      <c r="C107" t="s">
        <v>44</v>
      </c>
      <c r="E107" s="5">
        <v>8.0399999999999991</v>
      </c>
      <c r="I107" t="s">
        <v>18</v>
      </c>
      <c r="K107" s="6">
        <v>7797</v>
      </c>
      <c r="L107" s="6">
        <v>6938</v>
      </c>
      <c r="N107" s="6">
        <v>1618</v>
      </c>
      <c r="O107" s="7">
        <v>337.84</v>
      </c>
      <c r="P107">
        <v>4.8179999999999996</v>
      </c>
    </row>
    <row r="108" spans="1:21" x14ac:dyDescent="0.2">
      <c r="A108">
        <v>9</v>
      </c>
      <c r="B108">
        <v>9</v>
      </c>
      <c r="C108" t="s">
        <v>45</v>
      </c>
      <c r="E108" s="5">
        <v>8.0299999999999994</v>
      </c>
      <c r="I108" t="s">
        <v>18</v>
      </c>
      <c r="K108" s="6">
        <v>2653</v>
      </c>
      <c r="L108" s="6">
        <v>2739</v>
      </c>
      <c r="N108" s="6">
        <v>579</v>
      </c>
      <c r="O108" s="7">
        <v>178.446</v>
      </c>
      <c r="P108">
        <v>4.58</v>
      </c>
    </row>
    <row r="109" spans="1:21" x14ac:dyDescent="0.2">
      <c r="A109">
        <v>10</v>
      </c>
      <c r="B109">
        <v>10</v>
      </c>
      <c r="C109" t="s">
        <v>46</v>
      </c>
      <c r="E109" s="5">
        <v>8.0299999999999994</v>
      </c>
      <c r="I109" t="s">
        <v>18</v>
      </c>
      <c r="K109" s="6">
        <v>1356</v>
      </c>
      <c r="L109" s="6">
        <v>1699</v>
      </c>
      <c r="O109" s="7">
        <v>111.93899999999999</v>
      </c>
    </row>
    <row r="110" spans="1:21" x14ac:dyDescent="0.2">
      <c r="A110">
        <v>11</v>
      </c>
      <c r="B110">
        <v>11</v>
      </c>
      <c r="C110" t="s">
        <v>47</v>
      </c>
      <c r="E110" s="5">
        <v>8.0299999999999994</v>
      </c>
      <c r="I110" t="s">
        <v>53</v>
      </c>
      <c r="K110" s="6">
        <v>957</v>
      </c>
      <c r="L110" s="6">
        <v>1300</v>
      </c>
      <c r="O110" s="7">
        <v>111.86499999999999</v>
      </c>
    </row>
    <row r="111" spans="1:21" x14ac:dyDescent="0.2">
      <c r="A111">
        <v>23</v>
      </c>
      <c r="B111">
        <v>23</v>
      </c>
      <c r="C111" t="s">
        <v>48</v>
      </c>
      <c r="E111" s="5">
        <v>8.0299999999999994</v>
      </c>
      <c r="I111" t="s">
        <v>18</v>
      </c>
      <c r="K111" s="6">
        <v>1094</v>
      </c>
      <c r="L111" s="6">
        <v>687</v>
      </c>
      <c r="O111" s="7">
        <v>45.912999999999997</v>
      </c>
    </row>
    <row r="112" spans="1:21" x14ac:dyDescent="0.2">
      <c r="A112">
        <v>24</v>
      </c>
      <c r="B112">
        <v>24</v>
      </c>
      <c r="C112" t="s">
        <v>49</v>
      </c>
      <c r="E112" s="5">
        <v>8.0299999999999994</v>
      </c>
      <c r="I112" t="s">
        <v>53</v>
      </c>
      <c r="K112" s="6">
        <v>741</v>
      </c>
      <c r="L112" s="6">
        <v>572</v>
      </c>
      <c r="O112" s="7">
        <v>37.207999999999998</v>
      </c>
    </row>
    <row r="113" spans="1:16" x14ac:dyDescent="0.2">
      <c r="A113">
        <v>25</v>
      </c>
      <c r="B113">
        <v>25</v>
      </c>
      <c r="C113" t="s">
        <v>50</v>
      </c>
      <c r="E113" s="5">
        <v>8.0399999999999991</v>
      </c>
      <c r="I113" t="s">
        <v>53</v>
      </c>
      <c r="K113" s="6">
        <v>656</v>
      </c>
      <c r="L113" s="6">
        <v>452</v>
      </c>
      <c r="O113" s="7">
        <v>39.747</v>
      </c>
    </row>
    <row r="114" spans="1:16" x14ac:dyDescent="0.2">
      <c r="A114">
        <v>26</v>
      </c>
      <c r="B114">
        <v>26</v>
      </c>
      <c r="C114" t="s">
        <v>51</v>
      </c>
      <c r="E114" s="5">
        <v>8.0299999999999994</v>
      </c>
      <c r="I114" t="s">
        <v>53</v>
      </c>
      <c r="K114" s="6">
        <v>688</v>
      </c>
      <c r="L114" s="6">
        <v>440</v>
      </c>
      <c r="O114" s="7">
        <v>75.989999999999995</v>
      </c>
    </row>
    <row r="116" spans="1:16" x14ac:dyDescent="0.2">
      <c r="A116" t="s">
        <v>55</v>
      </c>
    </row>
    <row r="118" spans="1:16" x14ac:dyDescent="0.2">
      <c r="B118" t="s">
        <v>3</v>
      </c>
      <c r="C118" t="s">
        <v>4</v>
      </c>
      <c r="D118" t="s">
        <v>5</v>
      </c>
      <c r="E118" s="5" t="s">
        <v>6</v>
      </c>
      <c r="F118" t="s">
        <v>7</v>
      </c>
      <c r="G118" s="5" t="s">
        <v>58</v>
      </c>
      <c r="H118" t="s">
        <v>8</v>
      </c>
      <c r="I118" t="s">
        <v>9</v>
      </c>
      <c r="J118" s="1" t="s">
        <v>60</v>
      </c>
      <c r="K118" s="6" t="s">
        <v>10</v>
      </c>
      <c r="L118" s="6" t="s">
        <v>11</v>
      </c>
      <c r="M118" t="s">
        <v>12</v>
      </c>
      <c r="N118" s="6" t="s">
        <v>13</v>
      </c>
      <c r="O118" s="7" t="s">
        <v>14</v>
      </c>
      <c r="P118" t="s">
        <v>15</v>
      </c>
    </row>
    <row r="119" spans="1:16" x14ac:dyDescent="0.2">
      <c r="A119">
        <v>1</v>
      </c>
      <c r="B119">
        <v>1</v>
      </c>
      <c r="C119" t="s">
        <v>16</v>
      </c>
      <c r="E119" s="5">
        <v>8.0299999999999994</v>
      </c>
      <c r="F119" t="s">
        <v>17</v>
      </c>
      <c r="G119" s="5">
        <v>200</v>
      </c>
      <c r="H119">
        <v>-4.8</v>
      </c>
      <c r="I119" t="s">
        <v>18</v>
      </c>
      <c r="J119" s="1">
        <v>190.3802</v>
      </c>
      <c r="K119" s="6">
        <v>8142586</v>
      </c>
      <c r="M119">
        <v>8142585.5</v>
      </c>
      <c r="O119" s="7">
        <v>106207.83</v>
      </c>
    </row>
    <row r="120" spans="1:16" x14ac:dyDescent="0.2">
      <c r="A120">
        <v>2</v>
      </c>
      <c r="B120">
        <v>2</v>
      </c>
      <c r="C120" t="s">
        <v>19</v>
      </c>
      <c r="E120" s="5">
        <v>8.0299999999999994</v>
      </c>
      <c r="F120" t="s">
        <v>17</v>
      </c>
      <c r="G120" s="5">
        <v>200</v>
      </c>
      <c r="H120">
        <v>-4.9000000000000004</v>
      </c>
      <c r="I120" t="s">
        <v>18</v>
      </c>
      <c r="J120" s="1">
        <v>190.2448</v>
      </c>
      <c r="K120" s="6">
        <v>8136792</v>
      </c>
      <c r="M120">
        <v>8136791.5</v>
      </c>
      <c r="O120" s="7">
        <v>149321456</v>
      </c>
    </row>
    <row r="121" spans="1:16" x14ac:dyDescent="0.2">
      <c r="A121">
        <v>3</v>
      </c>
      <c r="B121">
        <v>3</v>
      </c>
      <c r="C121" t="s">
        <v>20</v>
      </c>
      <c r="E121" s="5">
        <v>8.02</v>
      </c>
      <c r="F121" t="s">
        <v>17</v>
      </c>
      <c r="G121" s="5">
        <v>200</v>
      </c>
      <c r="H121">
        <v>2.8</v>
      </c>
      <c r="I121" t="s">
        <v>18</v>
      </c>
      <c r="J121" s="1">
        <v>205.52780000000001</v>
      </c>
      <c r="K121" s="6">
        <v>8790450</v>
      </c>
      <c r="M121">
        <v>8790450</v>
      </c>
      <c r="O121" s="7">
        <v>161117024</v>
      </c>
    </row>
    <row r="122" spans="1:16" x14ac:dyDescent="0.2">
      <c r="A122">
        <v>4</v>
      </c>
      <c r="B122">
        <v>4</v>
      </c>
      <c r="C122" t="s">
        <v>21</v>
      </c>
      <c r="E122" s="5">
        <v>8.0299999999999994</v>
      </c>
      <c r="F122" t="s">
        <v>17</v>
      </c>
      <c r="G122" s="5">
        <v>200</v>
      </c>
      <c r="H122">
        <v>3</v>
      </c>
      <c r="I122" t="s">
        <v>18</v>
      </c>
      <c r="J122" s="1">
        <v>205.9913</v>
      </c>
      <c r="K122" s="6">
        <v>8810274</v>
      </c>
      <c r="M122">
        <v>8810274</v>
      </c>
      <c r="O122" s="7">
        <v>165078544</v>
      </c>
    </row>
    <row r="123" spans="1:16" x14ac:dyDescent="0.2">
      <c r="A123">
        <v>5</v>
      </c>
      <c r="B123">
        <v>5</v>
      </c>
      <c r="C123" t="s">
        <v>22</v>
      </c>
      <c r="E123" s="5">
        <v>8.02</v>
      </c>
      <c r="F123" t="s">
        <v>17</v>
      </c>
      <c r="G123" s="5">
        <v>200</v>
      </c>
      <c r="H123">
        <v>4.5</v>
      </c>
      <c r="I123" t="s">
        <v>18</v>
      </c>
      <c r="J123" s="1">
        <v>208.9486</v>
      </c>
      <c r="K123" s="6">
        <v>8936758</v>
      </c>
      <c r="M123">
        <v>8936758</v>
      </c>
      <c r="O123" s="7">
        <v>166116048</v>
      </c>
    </row>
    <row r="124" spans="1:16" x14ac:dyDescent="0.2">
      <c r="A124">
        <v>6</v>
      </c>
      <c r="B124">
        <v>6</v>
      </c>
      <c r="C124" t="s">
        <v>23</v>
      </c>
      <c r="E124" s="5">
        <v>8.02</v>
      </c>
      <c r="F124" t="s">
        <v>17</v>
      </c>
      <c r="G124" s="5">
        <v>200</v>
      </c>
      <c r="H124">
        <v>6.4</v>
      </c>
      <c r="I124" t="s">
        <v>18</v>
      </c>
      <c r="J124" s="1">
        <v>212.8372</v>
      </c>
      <c r="K124" s="6">
        <v>9103074</v>
      </c>
      <c r="M124">
        <v>9103074</v>
      </c>
      <c r="O124" s="7">
        <v>170342736</v>
      </c>
    </row>
    <row r="125" spans="1:16" x14ac:dyDescent="0.2">
      <c r="A125">
        <v>7</v>
      </c>
      <c r="B125">
        <v>7</v>
      </c>
      <c r="C125" t="s">
        <v>24</v>
      </c>
      <c r="E125" s="5">
        <v>8.02</v>
      </c>
      <c r="F125" t="s">
        <v>17</v>
      </c>
      <c r="G125" s="5">
        <v>200</v>
      </c>
      <c r="H125">
        <v>1.9</v>
      </c>
      <c r="I125" t="s">
        <v>18</v>
      </c>
      <c r="J125" s="1">
        <v>203.8785</v>
      </c>
      <c r="K125" s="6">
        <v>8719909</v>
      </c>
      <c r="M125">
        <v>8719909</v>
      </c>
      <c r="O125" s="7">
        <v>161926448</v>
      </c>
    </row>
    <row r="126" spans="1:16" x14ac:dyDescent="0.2">
      <c r="A126">
        <v>27</v>
      </c>
      <c r="B126">
        <v>27</v>
      </c>
      <c r="C126" t="s">
        <v>25</v>
      </c>
      <c r="E126" s="5">
        <v>8.02</v>
      </c>
      <c r="F126" t="s">
        <v>17</v>
      </c>
      <c r="G126" s="5">
        <v>200</v>
      </c>
      <c r="H126">
        <v>2</v>
      </c>
      <c r="I126" t="s">
        <v>18</v>
      </c>
      <c r="J126" s="1">
        <v>204.00319999999999</v>
      </c>
      <c r="K126" s="6">
        <v>8725242</v>
      </c>
      <c r="M126">
        <v>8725242</v>
      </c>
      <c r="O126" s="7">
        <v>1462282.429</v>
      </c>
    </row>
    <row r="127" spans="1:16" x14ac:dyDescent="0.2">
      <c r="A127">
        <v>28</v>
      </c>
      <c r="B127">
        <v>28</v>
      </c>
      <c r="C127" t="s">
        <v>26</v>
      </c>
      <c r="E127" s="5">
        <v>8.02</v>
      </c>
      <c r="F127" t="s">
        <v>17</v>
      </c>
      <c r="G127" s="5">
        <v>200</v>
      </c>
      <c r="H127">
        <v>-0.2</v>
      </c>
      <c r="I127" t="s">
        <v>18</v>
      </c>
      <c r="J127" s="1">
        <v>199.5197</v>
      </c>
      <c r="K127" s="6">
        <v>8533481</v>
      </c>
      <c r="M127">
        <v>8533481</v>
      </c>
      <c r="O127" s="7">
        <v>747203.16399999999</v>
      </c>
    </row>
    <row r="128" spans="1:16" x14ac:dyDescent="0.2">
      <c r="A128">
        <v>29</v>
      </c>
      <c r="B128">
        <v>29</v>
      </c>
      <c r="C128" t="s">
        <v>27</v>
      </c>
      <c r="E128" s="5">
        <v>8.02</v>
      </c>
      <c r="F128" t="s">
        <v>17</v>
      </c>
      <c r="G128" s="5">
        <v>200</v>
      </c>
      <c r="H128">
        <v>-0.4</v>
      </c>
      <c r="I128" t="s">
        <v>18</v>
      </c>
      <c r="J128" s="1">
        <v>199.1574</v>
      </c>
      <c r="K128" s="6">
        <v>8517984</v>
      </c>
      <c r="M128">
        <v>8517984</v>
      </c>
      <c r="O128" s="7">
        <v>1722888.179</v>
      </c>
    </row>
    <row r="129" spans="1:18" x14ac:dyDescent="0.2">
      <c r="A129">
        <v>30</v>
      </c>
      <c r="B129">
        <v>30</v>
      </c>
      <c r="C129" t="s">
        <v>28</v>
      </c>
      <c r="E129" s="5">
        <v>8.02</v>
      </c>
      <c r="F129" t="s">
        <v>17</v>
      </c>
      <c r="G129" s="5">
        <v>200</v>
      </c>
      <c r="H129">
        <v>-1.3</v>
      </c>
      <c r="I129" t="s">
        <v>18</v>
      </c>
      <c r="J129" s="1">
        <v>197.43180000000001</v>
      </c>
      <c r="K129" s="6">
        <v>8444180</v>
      </c>
      <c r="M129">
        <v>8444180</v>
      </c>
      <c r="O129" s="7">
        <v>753322.33799999999</v>
      </c>
    </row>
    <row r="130" spans="1:18" x14ac:dyDescent="0.2">
      <c r="A130">
        <v>31</v>
      </c>
      <c r="B130">
        <v>31</v>
      </c>
      <c r="C130" t="s">
        <v>29</v>
      </c>
      <c r="E130" s="5">
        <v>8.02</v>
      </c>
      <c r="F130" t="s">
        <v>17</v>
      </c>
      <c r="G130" s="5">
        <v>200</v>
      </c>
      <c r="H130">
        <v>-1.2</v>
      </c>
      <c r="I130" t="s">
        <v>18</v>
      </c>
      <c r="J130" s="1">
        <v>197.58160000000001</v>
      </c>
      <c r="K130" s="6">
        <v>8450588</v>
      </c>
      <c r="M130">
        <v>8450588</v>
      </c>
      <c r="O130" s="7">
        <v>1521338.2209999999</v>
      </c>
    </row>
    <row r="131" spans="1:18" x14ac:dyDescent="0.2">
      <c r="A131">
        <v>32</v>
      </c>
      <c r="B131">
        <v>32</v>
      </c>
      <c r="C131" t="s">
        <v>30</v>
      </c>
      <c r="E131" s="5">
        <v>8.01</v>
      </c>
      <c r="F131" t="s">
        <v>17</v>
      </c>
      <c r="G131" s="5">
        <v>200</v>
      </c>
      <c r="H131">
        <v>-3.8</v>
      </c>
      <c r="I131" t="s">
        <v>18</v>
      </c>
      <c r="J131" s="1">
        <v>192.34739999999999</v>
      </c>
      <c r="K131" s="6">
        <v>8226719</v>
      </c>
      <c r="M131">
        <v>8226719</v>
      </c>
      <c r="O131" s="7">
        <v>1641455.7290000001</v>
      </c>
    </row>
    <row r="132" spans="1:18" x14ac:dyDescent="0.2">
      <c r="A132">
        <v>33</v>
      </c>
      <c r="B132">
        <v>33</v>
      </c>
      <c r="C132" t="s">
        <v>31</v>
      </c>
      <c r="E132" s="5">
        <v>8.01</v>
      </c>
      <c r="F132" t="s">
        <v>17</v>
      </c>
      <c r="G132" s="5">
        <v>200</v>
      </c>
      <c r="H132">
        <v>-3.9</v>
      </c>
      <c r="I132" t="s">
        <v>18</v>
      </c>
      <c r="J132" s="1">
        <v>192.15039999999999</v>
      </c>
      <c r="K132" s="6">
        <v>8218294</v>
      </c>
      <c r="M132">
        <v>8218293.5</v>
      </c>
      <c r="O132" s="7">
        <v>3072726.7439999999</v>
      </c>
      <c r="R132" s="5" t="s">
        <v>62</v>
      </c>
    </row>
    <row r="133" spans="1:18" x14ac:dyDescent="0.2">
      <c r="A133">
        <v>12</v>
      </c>
      <c r="B133">
        <v>12</v>
      </c>
      <c r="C133" t="s">
        <v>32</v>
      </c>
      <c r="E133" s="5">
        <v>8.01</v>
      </c>
      <c r="F133" t="s">
        <v>33</v>
      </c>
      <c r="G133" s="5">
        <v>200</v>
      </c>
      <c r="H133">
        <v>-13</v>
      </c>
      <c r="I133" t="s">
        <v>18</v>
      </c>
      <c r="J133" s="1">
        <v>174.0538</v>
      </c>
      <c r="K133" s="6">
        <v>7444304</v>
      </c>
      <c r="M133">
        <v>7444303.5</v>
      </c>
      <c r="O133" s="7">
        <v>305967.033</v>
      </c>
      <c r="R133" s="5">
        <f>100+H133</f>
        <v>87</v>
      </c>
    </row>
    <row r="134" spans="1:18" x14ac:dyDescent="0.2">
      <c r="A134">
        <v>13</v>
      </c>
      <c r="B134">
        <v>13</v>
      </c>
      <c r="C134" t="s">
        <v>34</v>
      </c>
      <c r="E134" s="5">
        <v>8.01</v>
      </c>
      <c r="F134" t="s">
        <v>33</v>
      </c>
      <c r="G134" s="5">
        <v>200</v>
      </c>
      <c r="H134">
        <v>-16.399999999999999</v>
      </c>
      <c r="I134" t="s">
        <v>18</v>
      </c>
      <c r="J134" s="1">
        <v>167.22300000000001</v>
      </c>
      <c r="K134" s="6">
        <v>7152148</v>
      </c>
      <c r="M134">
        <v>7152148</v>
      </c>
      <c r="O134" s="7">
        <v>5198696.9479999999</v>
      </c>
      <c r="R134" s="5">
        <f t="shared" ref="R134:R138" si="7">100+H134</f>
        <v>83.6</v>
      </c>
    </row>
    <row r="135" spans="1:18" x14ac:dyDescent="0.2">
      <c r="A135">
        <v>14</v>
      </c>
      <c r="B135">
        <v>14</v>
      </c>
      <c r="C135" t="s">
        <v>35</v>
      </c>
      <c r="E135" s="5">
        <v>8</v>
      </c>
      <c r="F135" t="s">
        <v>33</v>
      </c>
      <c r="G135" s="5">
        <v>200</v>
      </c>
      <c r="H135">
        <v>-14.4</v>
      </c>
      <c r="I135" t="s">
        <v>18</v>
      </c>
      <c r="J135" s="1">
        <v>171.2473</v>
      </c>
      <c r="K135" s="6">
        <v>7324267</v>
      </c>
      <c r="M135">
        <v>7324266.5</v>
      </c>
      <c r="O135" s="7">
        <v>295001.20699999999</v>
      </c>
      <c r="R135" s="5">
        <f t="shared" si="7"/>
        <v>85.6</v>
      </c>
    </row>
    <row r="136" spans="1:18" x14ac:dyDescent="0.2">
      <c r="A136">
        <v>15</v>
      </c>
      <c r="B136">
        <v>15</v>
      </c>
      <c r="C136" t="s">
        <v>36</v>
      </c>
      <c r="E136" s="5">
        <v>8</v>
      </c>
      <c r="F136" t="s">
        <v>33</v>
      </c>
      <c r="G136" s="5">
        <v>200</v>
      </c>
      <c r="H136">
        <v>-12.2</v>
      </c>
      <c r="I136" t="s">
        <v>18</v>
      </c>
      <c r="J136" s="1">
        <v>175.60169999999999</v>
      </c>
      <c r="K136" s="6">
        <v>7510505</v>
      </c>
      <c r="M136">
        <v>7510505</v>
      </c>
      <c r="O136" s="7">
        <v>474135.53600000002</v>
      </c>
      <c r="R136" s="5">
        <f t="shared" si="7"/>
        <v>87.8</v>
      </c>
    </row>
    <row r="137" spans="1:18" x14ac:dyDescent="0.2">
      <c r="A137">
        <v>16</v>
      </c>
      <c r="B137">
        <v>16</v>
      </c>
      <c r="C137" t="s">
        <v>37</v>
      </c>
      <c r="E137" s="5">
        <v>8</v>
      </c>
      <c r="F137" t="s">
        <v>33</v>
      </c>
      <c r="G137" s="5">
        <v>200</v>
      </c>
      <c r="H137">
        <v>-12.2</v>
      </c>
      <c r="I137" t="s">
        <v>18</v>
      </c>
      <c r="J137" s="1">
        <v>175.5196</v>
      </c>
      <c r="K137" s="6">
        <v>7506992</v>
      </c>
      <c r="M137">
        <v>7506992</v>
      </c>
      <c r="O137" s="7">
        <v>502855.20600000001</v>
      </c>
      <c r="R137" s="5">
        <f t="shared" si="7"/>
        <v>87.8</v>
      </c>
    </row>
    <row r="138" spans="1:18" x14ac:dyDescent="0.2">
      <c r="A138">
        <v>17</v>
      </c>
      <c r="B138">
        <v>17</v>
      </c>
      <c r="C138" t="s">
        <v>38</v>
      </c>
      <c r="E138" s="5">
        <v>8</v>
      </c>
      <c r="F138" t="s">
        <v>33</v>
      </c>
      <c r="G138" s="5">
        <v>100</v>
      </c>
      <c r="H138">
        <v>-26.6</v>
      </c>
      <c r="I138" t="s">
        <v>53</v>
      </c>
      <c r="J138" s="1">
        <v>73.3827</v>
      </c>
      <c r="K138" s="6">
        <v>3138586</v>
      </c>
      <c r="M138">
        <v>3138585.75</v>
      </c>
      <c r="O138" s="7">
        <v>333171.06</v>
      </c>
      <c r="R138" s="5">
        <f t="shared" si="7"/>
        <v>73.400000000000006</v>
      </c>
    </row>
    <row r="139" spans="1:18" x14ac:dyDescent="0.2">
      <c r="A139">
        <v>18</v>
      </c>
      <c r="B139">
        <v>18</v>
      </c>
      <c r="C139" t="s">
        <v>39</v>
      </c>
      <c r="E139" s="5">
        <v>8</v>
      </c>
      <c r="F139" t="s">
        <v>33</v>
      </c>
      <c r="I139" t="s">
        <v>18</v>
      </c>
      <c r="J139" s="1">
        <v>0.77439999999999998</v>
      </c>
      <c r="K139" s="6">
        <v>33119</v>
      </c>
      <c r="M139">
        <v>33119.491999999998</v>
      </c>
      <c r="O139" s="7">
        <v>3984.002</v>
      </c>
      <c r="R139" s="2" t="s">
        <v>59</v>
      </c>
    </row>
    <row r="140" spans="1:18" x14ac:dyDescent="0.2">
      <c r="A140">
        <v>19</v>
      </c>
      <c r="B140">
        <v>19</v>
      </c>
      <c r="C140" t="s">
        <v>40</v>
      </c>
      <c r="E140" s="5">
        <v>8</v>
      </c>
      <c r="F140" t="s">
        <v>33</v>
      </c>
      <c r="I140" t="s">
        <v>18</v>
      </c>
      <c r="J140" s="1">
        <v>0.14349999999999999</v>
      </c>
      <c r="K140" s="6">
        <v>6138</v>
      </c>
      <c r="M140">
        <v>6138.4669999999996</v>
      </c>
      <c r="O140" s="7">
        <v>170.84899999999999</v>
      </c>
      <c r="R140" s="2" t="s">
        <v>59</v>
      </c>
    </row>
    <row r="141" spans="1:18" x14ac:dyDescent="0.2">
      <c r="A141">
        <v>20</v>
      </c>
      <c r="B141">
        <v>20</v>
      </c>
      <c r="C141" t="s">
        <v>41</v>
      </c>
      <c r="E141" s="5">
        <v>8</v>
      </c>
      <c r="F141" t="s">
        <v>33</v>
      </c>
      <c r="I141" t="s">
        <v>18</v>
      </c>
      <c r="J141" s="1">
        <v>0.13189999999999999</v>
      </c>
      <c r="K141" s="6">
        <v>5640</v>
      </c>
      <c r="M141">
        <v>5639.8890000000001</v>
      </c>
      <c r="O141" s="7">
        <v>537.80799999999999</v>
      </c>
      <c r="R141" s="2" t="s">
        <v>59</v>
      </c>
    </row>
    <row r="142" spans="1:18" x14ac:dyDescent="0.2">
      <c r="A142">
        <v>21</v>
      </c>
      <c r="B142">
        <v>21</v>
      </c>
      <c r="C142" t="s">
        <v>42</v>
      </c>
      <c r="E142" s="5">
        <v>8</v>
      </c>
      <c r="F142" t="s">
        <v>33</v>
      </c>
      <c r="I142" t="s">
        <v>18</v>
      </c>
      <c r="J142" s="1">
        <v>0.29409999999999997</v>
      </c>
      <c r="K142" s="6">
        <v>12580</v>
      </c>
      <c r="M142">
        <v>12579.505999999999</v>
      </c>
      <c r="O142" s="7">
        <v>1936.789</v>
      </c>
      <c r="R142" s="2" t="s">
        <v>59</v>
      </c>
    </row>
    <row r="143" spans="1:18" x14ac:dyDescent="0.2">
      <c r="A143">
        <v>22</v>
      </c>
      <c r="B143">
        <v>22</v>
      </c>
      <c r="C143" t="s">
        <v>43</v>
      </c>
      <c r="E143" s="5">
        <v>8</v>
      </c>
      <c r="F143" t="s">
        <v>33</v>
      </c>
      <c r="I143" t="s">
        <v>18</v>
      </c>
      <c r="J143" s="1">
        <v>6.0299999999999999E-2</v>
      </c>
      <c r="K143" s="6">
        <v>2578</v>
      </c>
      <c r="M143">
        <v>2577.991</v>
      </c>
      <c r="O143" s="7">
        <v>164.5</v>
      </c>
      <c r="R143" s="2" t="s">
        <v>59</v>
      </c>
    </row>
    <row r="144" spans="1:18" x14ac:dyDescent="0.2">
      <c r="A144">
        <v>8</v>
      </c>
      <c r="B144">
        <v>8</v>
      </c>
      <c r="C144" t="s">
        <v>44</v>
      </c>
      <c r="E144" s="5">
        <v>8.02</v>
      </c>
      <c r="I144" t="s">
        <v>18</v>
      </c>
      <c r="J144" s="1">
        <v>0.16220000000000001</v>
      </c>
      <c r="K144" s="6">
        <v>6938</v>
      </c>
      <c r="M144">
        <v>6938.1379999999999</v>
      </c>
      <c r="O144" s="7">
        <v>466.82100000000003</v>
      </c>
    </row>
    <row r="145" spans="1:16" x14ac:dyDescent="0.2">
      <c r="A145">
        <v>9</v>
      </c>
      <c r="B145">
        <v>9</v>
      </c>
      <c r="C145" t="s">
        <v>45</v>
      </c>
      <c r="E145" s="5">
        <v>8.01</v>
      </c>
      <c r="I145" t="s">
        <v>18</v>
      </c>
      <c r="J145" s="1">
        <v>6.4000000000000001E-2</v>
      </c>
      <c r="K145" s="6">
        <v>2739</v>
      </c>
      <c r="M145">
        <v>2738.998</v>
      </c>
      <c r="O145" s="7">
        <v>469.779</v>
      </c>
    </row>
    <row r="146" spans="1:16" x14ac:dyDescent="0.2">
      <c r="A146">
        <v>10</v>
      </c>
      <c r="B146">
        <v>10</v>
      </c>
      <c r="C146" t="s">
        <v>46</v>
      </c>
      <c r="E146" s="5">
        <v>8.01</v>
      </c>
      <c r="I146" t="s">
        <v>18</v>
      </c>
      <c r="J146" s="1">
        <v>3.9699999999999999E-2</v>
      </c>
      <c r="K146" s="6">
        <v>1699</v>
      </c>
      <c r="M146">
        <v>1698.7629999999999</v>
      </c>
      <c r="O146" s="7">
        <v>83.372</v>
      </c>
    </row>
    <row r="147" spans="1:16" x14ac:dyDescent="0.2">
      <c r="A147">
        <v>11</v>
      </c>
      <c r="B147">
        <v>11</v>
      </c>
      <c r="C147" t="s">
        <v>47</v>
      </c>
      <c r="E147" s="5">
        <v>8.01</v>
      </c>
      <c r="I147" t="s">
        <v>18</v>
      </c>
      <c r="J147" s="1">
        <v>3.04E-2</v>
      </c>
      <c r="K147" s="6">
        <v>1300</v>
      </c>
      <c r="M147">
        <v>1299.7</v>
      </c>
      <c r="O147" s="7">
        <v>163.75899999999999</v>
      </c>
    </row>
    <row r="148" spans="1:16" x14ac:dyDescent="0.2">
      <c r="A148">
        <v>23</v>
      </c>
      <c r="B148">
        <v>23</v>
      </c>
      <c r="C148" t="s">
        <v>48</v>
      </c>
      <c r="E148" s="5">
        <v>8</v>
      </c>
      <c r="I148" t="s">
        <v>53</v>
      </c>
      <c r="J148" s="1">
        <v>1.61E-2</v>
      </c>
      <c r="K148" s="6">
        <v>687</v>
      </c>
      <c r="M148">
        <v>687.048</v>
      </c>
      <c r="O148" s="7">
        <v>71.734999999999999</v>
      </c>
    </row>
    <row r="149" spans="1:16" x14ac:dyDescent="0.2">
      <c r="A149">
        <v>24</v>
      </c>
      <c r="B149">
        <v>24</v>
      </c>
      <c r="C149" t="s">
        <v>49</v>
      </c>
      <c r="E149" s="5">
        <v>8.01</v>
      </c>
      <c r="I149" t="s">
        <v>53</v>
      </c>
      <c r="J149" s="1">
        <v>1.34E-2</v>
      </c>
      <c r="K149" s="6">
        <v>572</v>
      </c>
      <c r="M149">
        <v>572.13300000000004</v>
      </c>
      <c r="O149" s="7">
        <v>69.948999999999998</v>
      </c>
    </row>
    <row r="150" spans="1:16" x14ac:dyDescent="0.2">
      <c r="A150">
        <v>25</v>
      </c>
      <c r="B150">
        <v>25</v>
      </c>
      <c r="C150" t="s">
        <v>50</v>
      </c>
      <c r="E150" s="5">
        <v>8.01</v>
      </c>
      <c r="I150" t="s">
        <v>53</v>
      </c>
      <c r="J150" s="1">
        <v>1.06E-2</v>
      </c>
      <c r="K150" s="6">
        <v>452</v>
      </c>
      <c r="M150">
        <v>451.98</v>
      </c>
      <c r="O150" s="7">
        <v>34.409999999999997</v>
      </c>
    </row>
    <row r="151" spans="1:16" x14ac:dyDescent="0.2">
      <c r="A151">
        <v>26</v>
      </c>
      <c r="B151">
        <v>26</v>
      </c>
      <c r="C151" t="s">
        <v>51</v>
      </c>
      <c r="E151" s="5">
        <v>8.01</v>
      </c>
      <c r="I151" t="s">
        <v>53</v>
      </c>
      <c r="J151" s="1">
        <v>1.03E-2</v>
      </c>
      <c r="K151" s="6">
        <v>440</v>
      </c>
      <c r="M151">
        <v>439.68900000000002</v>
      </c>
      <c r="O151" s="7">
        <v>58.066000000000003</v>
      </c>
    </row>
    <row r="153" spans="1:16" x14ac:dyDescent="0.2">
      <c r="A153" t="s">
        <v>56</v>
      </c>
    </row>
    <row r="155" spans="1:16" x14ac:dyDescent="0.2">
      <c r="B155" t="s">
        <v>3</v>
      </c>
      <c r="C155" t="s">
        <v>4</v>
      </c>
      <c r="D155" t="s">
        <v>5</v>
      </c>
      <c r="E155" s="5" t="s">
        <v>6</v>
      </c>
      <c r="F155" t="s">
        <v>7</v>
      </c>
      <c r="G155" s="5" t="s">
        <v>58</v>
      </c>
      <c r="H155" t="s">
        <v>8</v>
      </c>
      <c r="I155" t="s">
        <v>9</v>
      </c>
      <c r="J155" s="1" t="s">
        <v>60</v>
      </c>
      <c r="K155" s="6" t="s">
        <v>10</v>
      </c>
      <c r="L155" s="6" t="s">
        <v>11</v>
      </c>
      <c r="M155" t="s">
        <v>12</v>
      </c>
      <c r="N155" s="6" t="s">
        <v>13</v>
      </c>
      <c r="O155" s="7" t="s">
        <v>14</v>
      </c>
      <c r="P155" t="s">
        <v>15</v>
      </c>
    </row>
    <row r="156" spans="1:16" x14ac:dyDescent="0.2">
      <c r="A156">
        <v>1</v>
      </c>
      <c r="B156">
        <v>1</v>
      </c>
      <c r="C156" t="s">
        <v>16</v>
      </c>
      <c r="E156" s="5">
        <v>3.66</v>
      </c>
      <c r="F156" t="s">
        <v>17</v>
      </c>
      <c r="G156" s="5">
        <v>0.15</v>
      </c>
      <c r="H156">
        <v>0.5</v>
      </c>
      <c r="I156" t="s">
        <v>18</v>
      </c>
      <c r="J156" s="1">
        <v>0.15079999999999999</v>
      </c>
      <c r="K156" s="6">
        <v>1464</v>
      </c>
      <c r="L156" s="6">
        <v>928605</v>
      </c>
      <c r="M156">
        <v>0.315</v>
      </c>
      <c r="N156" s="6">
        <v>1695</v>
      </c>
      <c r="O156" s="7">
        <v>524.49400000000003</v>
      </c>
      <c r="P156">
        <v>0.86299999999999999</v>
      </c>
    </row>
    <row r="157" spans="1:16" x14ac:dyDescent="0.2">
      <c r="A157">
        <v>2</v>
      </c>
      <c r="B157">
        <v>2</v>
      </c>
      <c r="C157" t="s">
        <v>19</v>
      </c>
      <c r="E157" s="5">
        <v>3.67</v>
      </c>
      <c r="F157" t="s">
        <v>17</v>
      </c>
      <c r="G157" s="5">
        <v>0.5</v>
      </c>
      <c r="H157">
        <v>-2.9</v>
      </c>
      <c r="I157" t="s">
        <v>18</v>
      </c>
      <c r="J157" s="1">
        <v>0.48549999999999999</v>
      </c>
      <c r="K157" s="6">
        <v>3968</v>
      </c>
      <c r="L157" s="6">
        <v>967103</v>
      </c>
      <c r="M157">
        <v>0.82</v>
      </c>
      <c r="N157" s="6">
        <v>4636</v>
      </c>
      <c r="O157" s="7">
        <v>1531.171</v>
      </c>
      <c r="P157">
        <v>0.85599999999999998</v>
      </c>
    </row>
    <row r="158" spans="1:16" x14ac:dyDescent="0.2">
      <c r="A158">
        <v>3</v>
      </c>
      <c r="B158">
        <v>3</v>
      </c>
      <c r="C158" t="s">
        <v>20</v>
      </c>
      <c r="E158" s="5">
        <v>3.67</v>
      </c>
      <c r="F158" t="s">
        <v>17</v>
      </c>
      <c r="G158" s="5">
        <v>2</v>
      </c>
      <c r="H158">
        <v>-0.5</v>
      </c>
      <c r="I158" t="s">
        <v>18</v>
      </c>
      <c r="J158" s="1">
        <v>1.9891000000000001</v>
      </c>
      <c r="K158" s="6">
        <v>14828</v>
      </c>
      <c r="L158" s="6">
        <v>960072</v>
      </c>
      <c r="M158">
        <v>3.0870000000000002</v>
      </c>
      <c r="N158" s="6">
        <v>16701</v>
      </c>
      <c r="O158" s="7">
        <v>2554.2159999999999</v>
      </c>
      <c r="P158">
        <v>0.88800000000000001</v>
      </c>
    </row>
    <row r="159" spans="1:16" x14ac:dyDescent="0.2">
      <c r="A159">
        <v>4</v>
      </c>
      <c r="B159">
        <v>4</v>
      </c>
      <c r="C159" t="s">
        <v>21</v>
      </c>
      <c r="E159" s="5">
        <v>3.67</v>
      </c>
      <c r="F159" t="s">
        <v>17</v>
      </c>
      <c r="G159" s="5">
        <v>20.100000000000001</v>
      </c>
      <c r="H159">
        <v>-0.3</v>
      </c>
      <c r="I159" t="s">
        <v>18</v>
      </c>
      <c r="J159" s="1">
        <v>20.0349</v>
      </c>
      <c r="K159" s="6">
        <v>149603</v>
      </c>
      <c r="L159" s="6">
        <v>993126</v>
      </c>
      <c r="M159">
        <v>30.113</v>
      </c>
      <c r="N159" s="6">
        <v>166502</v>
      </c>
      <c r="O159" s="7">
        <v>11140.028</v>
      </c>
      <c r="P159">
        <v>0.89900000000000002</v>
      </c>
    </row>
    <row r="160" spans="1:16" x14ac:dyDescent="0.2">
      <c r="A160">
        <v>5</v>
      </c>
      <c r="B160">
        <v>5</v>
      </c>
      <c r="C160" t="s">
        <v>22</v>
      </c>
      <c r="E160" s="5">
        <v>3.67</v>
      </c>
      <c r="F160" t="s">
        <v>17</v>
      </c>
      <c r="G160" s="5">
        <v>50.2</v>
      </c>
      <c r="H160">
        <v>-1.4</v>
      </c>
      <c r="I160" t="s">
        <v>18</v>
      </c>
      <c r="J160" s="1">
        <v>49.484699999999997</v>
      </c>
      <c r="K160" s="6">
        <v>362445</v>
      </c>
      <c r="L160" s="6">
        <v>986005</v>
      </c>
      <c r="M160">
        <v>73.480999999999995</v>
      </c>
      <c r="N160" s="6">
        <v>413818</v>
      </c>
      <c r="O160" s="7">
        <v>24071.968000000001</v>
      </c>
      <c r="P160">
        <v>0.876</v>
      </c>
    </row>
    <row r="161" spans="1:21" x14ac:dyDescent="0.2">
      <c r="A161">
        <v>6</v>
      </c>
      <c r="B161">
        <v>6</v>
      </c>
      <c r="C161" t="s">
        <v>23</v>
      </c>
      <c r="E161" s="5">
        <v>3.67</v>
      </c>
      <c r="F161" t="s">
        <v>17</v>
      </c>
      <c r="G161" s="5">
        <v>100.4</v>
      </c>
      <c r="H161">
        <v>-0.5</v>
      </c>
      <c r="I161" t="s">
        <v>18</v>
      </c>
      <c r="J161" s="1">
        <v>99.913300000000007</v>
      </c>
      <c r="K161" s="6">
        <v>712860</v>
      </c>
      <c r="L161" s="6">
        <v>978527</v>
      </c>
      <c r="M161">
        <v>145.62799999999999</v>
      </c>
      <c r="N161" s="6">
        <v>787132</v>
      </c>
      <c r="O161" s="7">
        <v>13863105</v>
      </c>
      <c r="P161">
        <v>0.90600000000000003</v>
      </c>
    </row>
    <row r="162" spans="1:21" x14ac:dyDescent="0.2">
      <c r="A162">
        <v>7</v>
      </c>
      <c r="B162">
        <v>7</v>
      </c>
      <c r="C162" t="s">
        <v>24</v>
      </c>
      <c r="E162" s="5">
        <v>3.67</v>
      </c>
      <c r="F162" t="s">
        <v>17</v>
      </c>
      <c r="G162" s="5">
        <v>301.2</v>
      </c>
      <c r="H162">
        <v>-0.3</v>
      </c>
      <c r="I162" t="s">
        <v>18</v>
      </c>
      <c r="J162" s="1">
        <v>300.35039999999998</v>
      </c>
      <c r="K162" s="6">
        <v>1901197</v>
      </c>
      <c r="L162" s="6">
        <v>936151</v>
      </c>
      <c r="M162">
        <v>405.97</v>
      </c>
      <c r="N162" s="6">
        <v>2119277</v>
      </c>
      <c r="O162" s="7">
        <v>1119992.6810000001</v>
      </c>
      <c r="P162">
        <v>0.89700000000000002</v>
      </c>
    </row>
    <row r="163" spans="1:21" x14ac:dyDescent="0.2">
      <c r="A163">
        <v>27</v>
      </c>
      <c r="B163">
        <v>27</v>
      </c>
      <c r="C163" t="s">
        <v>25</v>
      </c>
      <c r="E163" s="5">
        <v>3.67</v>
      </c>
      <c r="F163" t="s">
        <v>17</v>
      </c>
      <c r="G163" s="5">
        <v>0.15</v>
      </c>
      <c r="H163">
        <v>1</v>
      </c>
      <c r="I163" t="s">
        <v>18</v>
      </c>
      <c r="J163" s="1">
        <v>0.15140000000000001</v>
      </c>
      <c r="K163" s="6">
        <v>1330</v>
      </c>
      <c r="L163" s="6">
        <v>841011</v>
      </c>
      <c r="M163">
        <v>0.316</v>
      </c>
      <c r="N163" s="6">
        <v>1653</v>
      </c>
      <c r="O163" s="7">
        <v>285.23700000000002</v>
      </c>
      <c r="P163">
        <v>0.80500000000000005</v>
      </c>
    </row>
    <row r="164" spans="1:21" x14ac:dyDescent="0.2">
      <c r="A164">
        <v>28</v>
      </c>
      <c r="B164">
        <v>28</v>
      </c>
      <c r="C164" t="s">
        <v>26</v>
      </c>
      <c r="E164" s="5">
        <v>3.68</v>
      </c>
      <c r="F164" t="s">
        <v>17</v>
      </c>
      <c r="G164" s="5">
        <v>0.5</v>
      </c>
      <c r="H164">
        <v>1.4</v>
      </c>
      <c r="I164" t="s">
        <v>18</v>
      </c>
      <c r="J164" s="1">
        <v>0.50690000000000002</v>
      </c>
      <c r="K164" s="6">
        <v>3560</v>
      </c>
      <c r="L164" s="6">
        <v>834801</v>
      </c>
      <c r="M164">
        <v>0.85199999999999998</v>
      </c>
      <c r="N164" s="6">
        <v>4105</v>
      </c>
      <c r="O164" s="7">
        <v>328.15699999999998</v>
      </c>
      <c r="P164">
        <v>0.86699999999999999</v>
      </c>
    </row>
    <row r="165" spans="1:21" x14ac:dyDescent="0.2">
      <c r="A165">
        <v>29</v>
      </c>
      <c r="B165">
        <v>29</v>
      </c>
      <c r="C165" t="s">
        <v>27</v>
      </c>
      <c r="E165" s="5">
        <v>3.67</v>
      </c>
      <c r="F165" t="s">
        <v>17</v>
      </c>
      <c r="G165" s="5">
        <v>2</v>
      </c>
      <c r="H165">
        <v>-0.7</v>
      </c>
      <c r="I165" t="s">
        <v>18</v>
      </c>
      <c r="J165" s="1">
        <v>1.9859</v>
      </c>
      <c r="K165" s="6">
        <v>13345</v>
      </c>
      <c r="L165" s="6">
        <v>865366</v>
      </c>
      <c r="M165">
        <v>3.0830000000000002</v>
      </c>
      <c r="N165" s="6">
        <v>15285</v>
      </c>
      <c r="O165" s="7">
        <v>1428.451</v>
      </c>
      <c r="P165">
        <v>0.873</v>
      </c>
    </row>
    <row r="166" spans="1:21" x14ac:dyDescent="0.2">
      <c r="A166">
        <v>30</v>
      </c>
      <c r="B166">
        <v>30</v>
      </c>
      <c r="C166" t="s">
        <v>28</v>
      </c>
      <c r="E166" s="5">
        <v>3.67</v>
      </c>
      <c r="F166" t="s">
        <v>17</v>
      </c>
      <c r="G166" s="5">
        <v>20.100000000000001</v>
      </c>
      <c r="H166">
        <v>2.5</v>
      </c>
      <c r="I166" t="s">
        <v>18</v>
      </c>
      <c r="J166" s="1">
        <v>20.597899999999999</v>
      </c>
      <c r="K166" s="6">
        <v>132920</v>
      </c>
      <c r="L166" s="6">
        <v>858501</v>
      </c>
      <c r="M166">
        <v>30.95</v>
      </c>
      <c r="N166" s="6">
        <v>148729</v>
      </c>
      <c r="O166" s="7">
        <v>269499.234</v>
      </c>
      <c r="P166">
        <v>0.89400000000000002</v>
      </c>
    </row>
    <row r="167" spans="1:21" x14ac:dyDescent="0.2">
      <c r="A167">
        <v>31</v>
      </c>
      <c r="B167">
        <v>31</v>
      </c>
      <c r="C167" t="s">
        <v>29</v>
      </c>
      <c r="E167" s="5">
        <v>3.67</v>
      </c>
      <c r="F167" t="s">
        <v>17</v>
      </c>
      <c r="G167" s="5">
        <v>50.2</v>
      </c>
      <c r="H167">
        <v>0.6</v>
      </c>
      <c r="I167" t="s">
        <v>18</v>
      </c>
      <c r="J167" s="1">
        <v>50.517099999999999</v>
      </c>
      <c r="K167" s="6">
        <v>316557</v>
      </c>
      <c r="L167" s="6">
        <v>843899</v>
      </c>
      <c r="M167">
        <v>74.984999999999999</v>
      </c>
      <c r="N167" s="6">
        <v>349393</v>
      </c>
      <c r="O167" s="7">
        <v>6229077</v>
      </c>
      <c r="P167">
        <v>0.90600000000000003</v>
      </c>
    </row>
    <row r="168" spans="1:21" x14ac:dyDescent="0.2">
      <c r="A168">
        <v>32</v>
      </c>
      <c r="B168">
        <v>32</v>
      </c>
      <c r="C168" t="s">
        <v>30</v>
      </c>
      <c r="E168" s="5">
        <v>3.67</v>
      </c>
      <c r="F168" t="s">
        <v>17</v>
      </c>
      <c r="G168" s="5">
        <v>100.4</v>
      </c>
      <c r="H168">
        <v>0.4</v>
      </c>
      <c r="I168" t="s">
        <v>18</v>
      </c>
      <c r="J168" s="1">
        <v>100.81010000000001</v>
      </c>
      <c r="K168" s="6">
        <v>591095</v>
      </c>
      <c r="L168" s="6">
        <v>804430</v>
      </c>
      <c r="M168">
        <v>146.887</v>
      </c>
      <c r="N168" s="6">
        <v>659477</v>
      </c>
      <c r="O168" s="7">
        <v>113258.764</v>
      </c>
      <c r="P168">
        <v>0.89600000000000002</v>
      </c>
    </row>
    <row r="169" spans="1:21" x14ac:dyDescent="0.2">
      <c r="A169">
        <v>33</v>
      </c>
      <c r="B169">
        <v>33</v>
      </c>
      <c r="C169" t="s">
        <v>31</v>
      </c>
      <c r="E169" s="5">
        <v>3.67</v>
      </c>
      <c r="F169" t="s">
        <v>17</v>
      </c>
      <c r="G169" s="5">
        <v>301.2</v>
      </c>
      <c r="H169">
        <v>0.3</v>
      </c>
      <c r="I169" t="s">
        <v>18</v>
      </c>
      <c r="J169" s="1">
        <v>302.12569999999999</v>
      </c>
      <c r="K169" s="6">
        <v>1605591</v>
      </c>
      <c r="L169" s="6">
        <v>786492</v>
      </c>
      <c r="M169">
        <v>408.08800000000002</v>
      </c>
      <c r="N169" s="6">
        <v>1812409</v>
      </c>
      <c r="O169" s="7">
        <v>30955506</v>
      </c>
      <c r="P169">
        <v>0.88600000000000001</v>
      </c>
      <c r="R169" s="5" t="s">
        <v>61</v>
      </c>
      <c r="S169" t="s">
        <v>65</v>
      </c>
      <c r="T169" s="5" t="s">
        <v>67</v>
      </c>
      <c r="U169" s="5" t="s">
        <v>80</v>
      </c>
    </row>
    <row r="170" spans="1:21" x14ac:dyDescent="0.2">
      <c r="A170">
        <v>12</v>
      </c>
      <c r="B170">
        <v>12</v>
      </c>
      <c r="C170" t="s">
        <v>32</v>
      </c>
      <c r="F170" t="s">
        <v>33</v>
      </c>
      <c r="R170" s="5">
        <v>4.9640000000000004</v>
      </c>
      <c r="T170" s="12"/>
      <c r="U170" s="2" t="s">
        <v>59</v>
      </c>
    </row>
    <row r="171" spans="1:21" x14ac:dyDescent="0.2">
      <c r="A171">
        <v>13</v>
      </c>
      <c r="B171">
        <v>13</v>
      </c>
      <c r="C171" t="s">
        <v>34</v>
      </c>
      <c r="F171" t="s">
        <v>33</v>
      </c>
      <c r="R171" s="5">
        <v>5.0911999999999997</v>
      </c>
      <c r="T171" s="12"/>
      <c r="U171" s="2" t="s">
        <v>59</v>
      </c>
    </row>
    <row r="172" spans="1:21" x14ac:dyDescent="0.2">
      <c r="A172">
        <v>14</v>
      </c>
      <c r="B172">
        <v>14</v>
      </c>
      <c r="C172" t="s">
        <v>35</v>
      </c>
      <c r="F172" t="s">
        <v>33</v>
      </c>
      <c r="R172" s="5">
        <v>4.9481000000000002</v>
      </c>
      <c r="T172" s="12"/>
      <c r="U172" s="2" t="s">
        <v>59</v>
      </c>
    </row>
    <row r="173" spans="1:21" x14ac:dyDescent="0.2">
      <c r="A173">
        <v>15</v>
      </c>
      <c r="B173">
        <v>15</v>
      </c>
      <c r="C173" t="s">
        <v>36</v>
      </c>
      <c r="F173" t="s">
        <v>33</v>
      </c>
      <c r="R173" s="5">
        <v>5.0441000000000003</v>
      </c>
      <c r="T173" s="12"/>
      <c r="U173" s="2" t="s">
        <v>59</v>
      </c>
    </row>
    <row r="174" spans="1:21" x14ac:dyDescent="0.2">
      <c r="A174">
        <v>16</v>
      </c>
      <c r="B174">
        <v>16</v>
      </c>
      <c r="C174" t="s">
        <v>37</v>
      </c>
      <c r="F174" t="s">
        <v>33</v>
      </c>
      <c r="R174" s="5">
        <v>5.0976999999999997</v>
      </c>
      <c r="T174" s="12"/>
      <c r="U174" s="2" t="s">
        <v>59</v>
      </c>
    </row>
    <row r="175" spans="1:21" x14ac:dyDescent="0.2">
      <c r="A175">
        <v>17</v>
      </c>
      <c r="B175">
        <v>17</v>
      </c>
      <c r="C175" t="s">
        <v>38</v>
      </c>
      <c r="F175" t="s">
        <v>33</v>
      </c>
      <c r="R175" s="5">
        <v>5.0911999999999997</v>
      </c>
      <c r="T175" s="12"/>
      <c r="U175" s="2" t="s">
        <v>59</v>
      </c>
    </row>
    <row r="176" spans="1:21" x14ac:dyDescent="0.2">
      <c r="A176">
        <v>18</v>
      </c>
      <c r="B176">
        <v>18</v>
      </c>
      <c r="C176" t="s">
        <v>39</v>
      </c>
      <c r="E176" s="5">
        <v>3.66</v>
      </c>
      <c r="F176" t="s">
        <v>33</v>
      </c>
      <c r="I176" t="s">
        <v>18</v>
      </c>
      <c r="J176" s="1">
        <v>154.45339999999999</v>
      </c>
      <c r="K176" s="6">
        <v>546674</v>
      </c>
      <c r="L176" s="6">
        <v>495267</v>
      </c>
      <c r="M176">
        <v>220.649</v>
      </c>
      <c r="N176" s="6">
        <v>605268</v>
      </c>
      <c r="O176" s="7">
        <v>98175.773000000001</v>
      </c>
      <c r="P176">
        <v>0.90300000000000002</v>
      </c>
      <c r="R176" s="5">
        <v>5.0968</v>
      </c>
      <c r="S176" s="11">
        <f>(J176*2/1000)*9/8</f>
        <v>0.34752014999999997</v>
      </c>
      <c r="T176" s="12">
        <f t="shared" ref="T176:T180" si="8">(S176*1000/5)/1000</f>
        <v>6.9504029999999981E-2</v>
      </c>
      <c r="U176" s="5">
        <f>100+H213</f>
        <v>55.1</v>
      </c>
    </row>
    <row r="177" spans="1:21" x14ac:dyDescent="0.2">
      <c r="A177">
        <v>19</v>
      </c>
      <c r="B177">
        <v>19</v>
      </c>
      <c r="C177" t="s">
        <v>40</v>
      </c>
      <c r="E177" s="5">
        <v>3.66</v>
      </c>
      <c r="F177" t="s">
        <v>33</v>
      </c>
      <c r="I177" t="s">
        <v>18</v>
      </c>
      <c r="J177" s="1">
        <v>178.87950000000001</v>
      </c>
      <c r="K177" s="6">
        <v>625797</v>
      </c>
      <c r="L177" s="6">
        <v>493996</v>
      </c>
      <c r="M177">
        <v>253.23400000000001</v>
      </c>
      <c r="N177" s="6">
        <v>689329</v>
      </c>
      <c r="O177" s="7">
        <v>55937.807999999997</v>
      </c>
      <c r="P177">
        <v>0.90800000000000003</v>
      </c>
      <c r="R177" s="5">
        <v>5.0369999999999999</v>
      </c>
      <c r="S177" s="11">
        <f t="shared" ref="S177:S180" si="9">(J177*2/1000)*9/8</f>
        <v>0.40247887500000001</v>
      </c>
      <c r="T177" s="12">
        <f t="shared" si="8"/>
        <v>8.0495775000000006E-2</v>
      </c>
      <c r="U177" s="5">
        <f t="shared" ref="U177:U180" si="10">100+H214</f>
        <v>55</v>
      </c>
    </row>
    <row r="178" spans="1:21" x14ac:dyDescent="0.2">
      <c r="A178">
        <v>20</v>
      </c>
      <c r="B178">
        <v>20</v>
      </c>
      <c r="C178" t="s">
        <v>41</v>
      </c>
      <c r="E178" s="5">
        <v>3.66</v>
      </c>
      <c r="F178" t="s">
        <v>33</v>
      </c>
      <c r="I178" t="s">
        <v>18</v>
      </c>
      <c r="J178" s="1">
        <v>179.86089999999999</v>
      </c>
      <c r="K178" s="6">
        <v>628185</v>
      </c>
      <c r="L178" s="6">
        <v>493357</v>
      </c>
      <c r="M178">
        <v>254.53</v>
      </c>
      <c r="N178" s="6">
        <v>697474</v>
      </c>
      <c r="O178" s="7">
        <v>136091.86499999999</v>
      </c>
      <c r="P178">
        <v>0.90100000000000002</v>
      </c>
      <c r="R178" s="5">
        <v>5.0720999999999998</v>
      </c>
      <c r="S178" s="11">
        <f t="shared" si="9"/>
        <v>0.40468702499999998</v>
      </c>
      <c r="T178" s="12">
        <f t="shared" si="8"/>
        <v>8.0937405000000004E-2</v>
      </c>
      <c r="U178" s="5">
        <f t="shared" si="10"/>
        <v>54.9</v>
      </c>
    </row>
    <row r="179" spans="1:21" x14ac:dyDescent="0.2">
      <c r="A179">
        <v>21</v>
      </c>
      <c r="B179">
        <v>21</v>
      </c>
      <c r="C179" t="s">
        <v>42</v>
      </c>
      <c r="E179" s="5">
        <v>3.66</v>
      </c>
      <c r="F179" t="s">
        <v>33</v>
      </c>
      <c r="I179" t="s">
        <v>18</v>
      </c>
      <c r="J179" s="1">
        <v>191.08430000000001</v>
      </c>
      <c r="K179" s="6">
        <v>675861</v>
      </c>
      <c r="L179" s="6">
        <v>501724</v>
      </c>
      <c r="M179">
        <v>269.28100000000001</v>
      </c>
      <c r="N179" s="6">
        <v>759313</v>
      </c>
      <c r="O179" s="7">
        <v>154544.481</v>
      </c>
      <c r="P179">
        <v>0.89</v>
      </c>
      <c r="R179" s="5">
        <v>4.9245000000000001</v>
      </c>
      <c r="S179" s="11">
        <f t="shared" si="9"/>
        <v>0.42993967500000002</v>
      </c>
      <c r="T179" s="12">
        <f t="shared" si="8"/>
        <v>8.5987935000000001E-2</v>
      </c>
      <c r="U179" s="5">
        <f t="shared" si="10"/>
        <v>55.8</v>
      </c>
    </row>
    <row r="180" spans="1:21" x14ac:dyDescent="0.2">
      <c r="A180">
        <v>22</v>
      </c>
      <c r="B180">
        <v>22</v>
      </c>
      <c r="C180" t="s">
        <v>43</v>
      </c>
      <c r="E180" s="5">
        <v>3.66</v>
      </c>
      <c r="F180" t="s">
        <v>33</v>
      </c>
      <c r="I180" t="s">
        <v>18</v>
      </c>
      <c r="J180" s="1">
        <v>153.17349999999999</v>
      </c>
      <c r="K180" s="6">
        <v>552146</v>
      </c>
      <c r="L180" s="6">
        <v>504165</v>
      </c>
      <c r="M180">
        <v>218.92400000000001</v>
      </c>
      <c r="N180" s="6">
        <v>621734</v>
      </c>
      <c r="O180" s="7">
        <v>1004167.295</v>
      </c>
      <c r="P180">
        <v>0.88800000000000001</v>
      </c>
      <c r="R180" s="5">
        <v>4.9744000000000002</v>
      </c>
      <c r="S180" s="11">
        <f t="shared" si="9"/>
        <v>0.344640375</v>
      </c>
      <c r="T180" s="12">
        <f t="shared" si="8"/>
        <v>6.8928075000000005E-2</v>
      </c>
      <c r="U180" s="5">
        <f t="shared" si="10"/>
        <v>56.1</v>
      </c>
    </row>
    <row r="181" spans="1:21" x14ac:dyDescent="0.2">
      <c r="A181">
        <v>8</v>
      </c>
      <c r="B181">
        <v>8</v>
      </c>
      <c r="C181" t="s">
        <v>44</v>
      </c>
    </row>
    <row r="182" spans="1:21" x14ac:dyDescent="0.2">
      <c r="A182">
        <v>9</v>
      </c>
      <c r="B182">
        <v>9</v>
      </c>
      <c r="C182" t="s">
        <v>45</v>
      </c>
    </row>
    <row r="183" spans="1:21" x14ac:dyDescent="0.2">
      <c r="A183">
        <v>10</v>
      </c>
      <c r="B183">
        <v>10</v>
      </c>
      <c r="C183" t="s">
        <v>46</v>
      </c>
    </row>
    <row r="184" spans="1:21" x14ac:dyDescent="0.2">
      <c r="A184">
        <v>11</v>
      </c>
      <c r="B184">
        <v>11</v>
      </c>
      <c r="C184" t="s">
        <v>47</v>
      </c>
    </row>
    <row r="185" spans="1:21" x14ac:dyDescent="0.2">
      <c r="A185">
        <v>23</v>
      </c>
      <c r="B185">
        <v>23</v>
      </c>
      <c r="C185" t="s">
        <v>48</v>
      </c>
    </row>
    <row r="186" spans="1:21" x14ac:dyDescent="0.2">
      <c r="A186">
        <v>24</v>
      </c>
      <c r="B186">
        <v>24</v>
      </c>
      <c r="C186" t="s">
        <v>49</v>
      </c>
    </row>
    <row r="187" spans="1:21" x14ac:dyDescent="0.2">
      <c r="A187">
        <v>25</v>
      </c>
      <c r="B187">
        <v>25</v>
      </c>
      <c r="C187" t="s">
        <v>50</v>
      </c>
    </row>
    <row r="188" spans="1:21" x14ac:dyDescent="0.2">
      <c r="A188">
        <v>26</v>
      </c>
      <c r="B188">
        <v>26</v>
      </c>
      <c r="C188" t="s">
        <v>51</v>
      </c>
    </row>
    <row r="190" spans="1:21" x14ac:dyDescent="0.2">
      <c r="A190" t="s">
        <v>57</v>
      </c>
    </row>
    <row r="192" spans="1:21" x14ac:dyDescent="0.2">
      <c r="B192" t="s">
        <v>3</v>
      </c>
      <c r="C192" t="s">
        <v>4</v>
      </c>
      <c r="D192" t="s">
        <v>5</v>
      </c>
      <c r="E192" s="5" t="s">
        <v>6</v>
      </c>
      <c r="F192" t="s">
        <v>7</v>
      </c>
      <c r="G192" s="5" t="s">
        <v>58</v>
      </c>
      <c r="H192" t="s">
        <v>8</v>
      </c>
      <c r="I192" t="s">
        <v>9</v>
      </c>
      <c r="J192" s="1" t="s">
        <v>60</v>
      </c>
      <c r="K192" s="6" t="s">
        <v>10</v>
      </c>
      <c r="L192" s="6" t="s">
        <v>11</v>
      </c>
      <c r="M192" t="s">
        <v>12</v>
      </c>
      <c r="N192" s="6" t="s">
        <v>13</v>
      </c>
      <c r="O192" s="7" t="s">
        <v>14</v>
      </c>
      <c r="P192" t="s">
        <v>15</v>
      </c>
    </row>
    <row r="193" spans="1:18" x14ac:dyDescent="0.2">
      <c r="A193">
        <v>1</v>
      </c>
      <c r="B193">
        <v>1</v>
      </c>
      <c r="C193" t="s">
        <v>16</v>
      </c>
      <c r="E193" s="5">
        <v>3.64</v>
      </c>
      <c r="F193" t="s">
        <v>17</v>
      </c>
      <c r="G193" s="5">
        <v>199.9</v>
      </c>
      <c r="H193">
        <v>3.3</v>
      </c>
      <c r="I193" t="s">
        <v>18</v>
      </c>
      <c r="J193" s="1">
        <v>206.51439999999999</v>
      </c>
      <c r="K193" s="6">
        <v>928605</v>
      </c>
      <c r="M193">
        <v>928605.375</v>
      </c>
      <c r="O193" s="7">
        <v>70817.232999999993</v>
      </c>
    </row>
    <row r="194" spans="1:18" x14ac:dyDescent="0.2">
      <c r="A194">
        <v>2</v>
      </c>
      <c r="B194">
        <v>2</v>
      </c>
      <c r="C194" t="s">
        <v>19</v>
      </c>
      <c r="E194" s="5">
        <v>3.65</v>
      </c>
      <c r="F194" t="s">
        <v>17</v>
      </c>
      <c r="G194" s="5">
        <v>199.9</v>
      </c>
      <c r="H194">
        <v>7.6</v>
      </c>
      <c r="I194" t="s">
        <v>18</v>
      </c>
      <c r="J194" s="1">
        <v>215.07589999999999</v>
      </c>
      <c r="K194" s="6">
        <v>967103</v>
      </c>
      <c r="M194">
        <v>967102.81299999997</v>
      </c>
      <c r="O194" s="7">
        <v>100404.633</v>
      </c>
    </row>
    <row r="195" spans="1:18" x14ac:dyDescent="0.2">
      <c r="A195">
        <v>3</v>
      </c>
      <c r="B195">
        <v>3</v>
      </c>
      <c r="C195" t="s">
        <v>20</v>
      </c>
      <c r="E195" s="5">
        <v>3.65</v>
      </c>
      <c r="F195" t="s">
        <v>17</v>
      </c>
      <c r="G195" s="5">
        <v>199.9</v>
      </c>
      <c r="H195">
        <v>6.8</v>
      </c>
      <c r="I195" t="s">
        <v>18</v>
      </c>
      <c r="J195" s="1">
        <v>213.51220000000001</v>
      </c>
      <c r="K195" s="6">
        <v>960072</v>
      </c>
      <c r="M195">
        <v>960071.75</v>
      </c>
      <c r="O195" s="7">
        <v>135283.79500000001</v>
      </c>
    </row>
    <row r="196" spans="1:18" x14ac:dyDescent="0.2">
      <c r="A196">
        <v>4</v>
      </c>
      <c r="B196">
        <v>4</v>
      </c>
      <c r="C196" t="s">
        <v>21</v>
      </c>
      <c r="E196" s="5">
        <v>3.65</v>
      </c>
      <c r="F196" t="s">
        <v>17</v>
      </c>
      <c r="G196" s="5">
        <v>199.9</v>
      </c>
      <c r="H196">
        <v>10.5</v>
      </c>
      <c r="I196" t="s">
        <v>18</v>
      </c>
      <c r="J196" s="1">
        <v>220.86330000000001</v>
      </c>
      <c r="K196" s="6">
        <v>993126</v>
      </c>
      <c r="M196">
        <v>993126.31299999997</v>
      </c>
      <c r="O196" s="7">
        <v>329586.62300000002</v>
      </c>
    </row>
    <row r="197" spans="1:18" x14ac:dyDescent="0.2">
      <c r="A197">
        <v>5</v>
      </c>
      <c r="B197">
        <v>5</v>
      </c>
      <c r="C197" t="s">
        <v>22</v>
      </c>
      <c r="E197" s="5">
        <v>3.65</v>
      </c>
      <c r="F197" t="s">
        <v>17</v>
      </c>
      <c r="G197" s="5">
        <v>199.9</v>
      </c>
      <c r="H197">
        <v>9.6999999999999993</v>
      </c>
      <c r="I197" t="s">
        <v>18</v>
      </c>
      <c r="J197" s="1">
        <v>219.27950000000001</v>
      </c>
      <c r="K197" s="6">
        <v>986005</v>
      </c>
      <c r="M197">
        <v>986004.5</v>
      </c>
      <c r="O197" s="7">
        <v>395908.15100000001</v>
      </c>
    </row>
    <row r="198" spans="1:18" x14ac:dyDescent="0.2">
      <c r="A198">
        <v>6</v>
      </c>
      <c r="B198">
        <v>6</v>
      </c>
      <c r="C198" t="s">
        <v>23</v>
      </c>
      <c r="E198" s="5">
        <v>3.65</v>
      </c>
      <c r="F198" t="s">
        <v>17</v>
      </c>
      <c r="G198" s="5">
        <v>199.9</v>
      </c>
      <c r="H198">
        <v>8.9</v>
      </c>
      <c r="I198" t="s">
        <v>18</v>
      </c>
      <c r="J198" s="1">
        <v>217.6165</v>
      </c>
      <c r="K198" s="6">
        <v>978527</v>
      </c>
      <c r="M198">
        <v>978526.81299999997</v>
      </c>
      <c r="O198" s="7">
        <v>18969226</v>
      </c>
    </row>
    <row r="199" spans="1:18" x14ac:dyDescent="0.2">
      <c r="A199">
        <v>7</v>
      </c>
      <c r="B199">
        <v>7</v>
      </c>
      <c r="C199" t="s">
        <v>24</v>
      </c>
      <c r="E199" s="5">
        <v>3.65</v>
      </c>
      <c r="F199" t="s">
        <v>17</v>
      </c>
      <c r="G199" s="5">
        <v>199.9</v>
      </c>
      <c r="H199">
        <v>4.0999999999999996</v>
      </c>
      <c r="I199" t="s">
        <v>18</v>
      </c>
      <c r="J199" s="1">
        <v>208.19239999999999</v>
      </c>
      <c r="K199" s="6">
        <v>936151</v>
      </c>
      <c r="M199">
        <v>936150.56299999997</v>
      </c>
      <c r="O199" s="7">
        <v>21717.794999999998</v>
      </c>
    </row>
    <row r="200" spans="1:18" x14ac:dyDescent="0.2">
      <c r="A200">
        <v>27</v>
      </c>
      <c r="B200">
        <v>27</v>
      </c>
      <c r="C200" t="s">
        <v>25</v>
      </c>
      <c r="E200" s="5">
        <v>3.65</v>
      </c>
      <c r="F200" t="s">
        <v>17</v>
      </c>
      <c r="G200" s="5">
        <v>199.9</v>
      </c>
      <c r="H200">
        <v>-6.4</v>
      </c>
      <c r="I200" t="s">
        <v>18</v>
      </c>
      <c r="J200" s="1">
        <v>187.0342</v>
      </c>
      <c r="K200" s="6">
        <v>841011</v>
      </c>
      <c r="M200">
        <v>841011.43799999997</v>
      </c>
      <c r="O200" s="7">
        <v>200284.149</v>
      </c>
    </row>
    <row r="201" spans="1:18" x14ac:dyDescent="0.2">
      <c r="A201">
        <v>28</v>
      </c>
      <c r="B201">
        <v>28</v>
      </c>
      <c r="C201" t="s">
        <v>26</v>
      </c>
      <c r="E201" s="5">
        <v>3.66</v>
      </c>
      <c r="F201" t="s">
        <v>17</v>
      </c>
      <c r="G201" s="5">
        <v>199.9</v>
      </c>
      <c r="H201">
        <v>-7.1</v>
      </c>
      <c r="I201" t="s">
        <v>18</v>
      </c>
      <c r="J201" s="1">
        <v>185.65289999999999</v>
      </c>
      <c r="K201" s="6">
        <v>834801</v>
      </c>
      <c r="M201">
        <v>834800.56299999997</v>
      </c>
      <c r="O201" s="7">
        <v>16123200</v>
      </c>
    </row>
    <row r="202" spans="1:18" x14ac:dyDescent="0.2">
      <c r="A202">
        <v>29</v>
      </c>
      <c r="B202">
        <v>29</v>
      </c>
      <c r="C202" t="s">
        <v>27</v>
      </c>
      <c r="E202" s="5">
        <v>3.65</v>
      </c>
      <c r="F202" t="s">
        <v>17</v>
      </c>
      <c r="G202" s="5">
        <v>199.9</v>
      </c>
      <c r="H202">
        <v>-3.7</v>
      </c>
      <c r="I202" t="s">
        <v>18</v>
      </c>
      <c r="J202" s="1">
        <v>192.45050000000001</v>
      </c>
      <c r="K202" s="6">
        <v>865366</v>
      </c>
      <c r="M202">
        <v>865366.18799999997</v>
      </c>
      <c r="O202" s="7">
        <v>198384.486</v>
      </c>
    </row>
    <row r="203" spans="1:18" x14ac:dyDescent="0.2">
      <c r="A203">
        <v>30</v>
      </c>
      <c r="B203">
        <v>30</v>
      </c>
      <c r="C203" t="s">
        <v>28</v>
      </c>
      <c r="E203" s="5">
        <v>3.65</v>
      </c>
      <c r="F203" t="s">
        <v>17</v>
      </c>
      <c r="G203" s="5">
        <v>199.9</v>
      </c>
      <c r="H203">
        <v>-4.5</v>
      </c>
      <c r="I203" t="s">
        <v>18</v>
      </c>
      <c r="J203" s="1">
        <v>190.9238</v>
      </c>
      <c r="K203" s="6">
        <v>858501</v>
      </c>
      <c r="M203">
        <v>858501.375</v>
      </c>
      <c r="O203" s="7">
        <v>513055.88699999999</v>
      </c>
    </row>
    <row r="204" spans="1:18" x14ac:dyDescent="0.2">
      <c r="A204">
        <v>31</v>
      </c>
      <c r="B204">
        <v>31</v>
      </c>
      <c r="C204" t="s">
        <v>29</v>
      </c>
      <c r="E204" s="5">
        <v>3.65</v>
      </c>
      <c r="F204" t="s">
        <v>17</v>
      </c>
      <c r="G204" s="5">
        <v>199.9</v>
      </c>
      <c r="H204">
        <v>-6.1</v>
      </c>
      <c r="I204" t="s">
        <v>18</v>
      </c>
      <c r="J204" s="1">
        <v>187.6763</v>
      </c>
      <c r="K204" s="6">
        <v>843899</v>
      </c>
      <c r="M204">
        <v>843898.625</v>
      </c>
      <c r="O204" s="7">
        <v>16481161</v>
      </c>
    </row>
    <row r="205" spans="1:18" x14ac:dyDescent="0.2">
      <c r="A205">
        <v>32</v>
      </c>
      <c r="B205">
        <v>32</v>
      </c>
      <c r="C205" t="s">
        <v>30</v>
      </c>
      <c r="E205" s="5">
        <v>3.65</v>
      </c>
      <c r="F205" t="s">
        <v>17</v>
      </c>
      <c r="G205" s="5">
        <v>199.9</v>
      </c>
      <c r="H205">
        <v>-10.5</v>
      </c>
      <c r="I205" t="s">
        <v>18</v>
      </c>
      <c r="J205" s="1">
        <v>178.89869999999999</v>
      </c>
      <c r="K205" s="6">
        <v>804430</v>
      </c>
      <c r="M205">
        <v>804429.75</v>
      </c>
      <c r="O205" s="7">
        <v>237003.31</v>
      </c>
    </row>
    <row r="206" spans="1:18" x14ac:dyDescent="0.2">
      <c r="A206">
        <v>33</v>
      </c>
      <c r="B206">
        <v>33</v>
      </c>
      <c r="C206" t="s">
        <v>31</v>
      </c>
      <c r="E206" s="5">
        <v>3.65</v>
      </c>
      <c r="F206" t="s">
        <v>17</v>
      </c>
      <c r="G206" s="5">
        <v>199.9</v>
      </c>
      <c r="H206">
        <v>-12.5</v>
      </c>
      <c r="I206" t="s">
        <v>18</v>
      </c>
      <c r="J206" s="1">
        <v>174.90950000000001</v>
      </c>
      <c r="K206" s="6">
        <v>786492</v>
      </c>
      <c r="M206">
        <v>786491.875</v>
      </c>
      <c r="O206" s="7">
        <v>220567.89499999999</v>
      </c>
      <c r="R206" s="5" t="s">
        <v>62</v>
      </c>
    </row>
    <row r="207" spans="1:18" x14ac:dyDescent="0.2">
      <c r="A207">
        <v>12</v>
      </c>
      <c r="B207">
        <v>12</v>
      </c>
      <c r="C207" t="s">
        <v>32</v>
      </c>
      <c r="F207" t="s">
        <v>33</v>
      </c>
      <c r="G207" s="5">
        <v>199.9</v>
      </c>
      <c r="R207" s="2" t="s">
        <v>59</v>
      </c>
    </row>
    <row r="208" spans="1:18" x14ac:dyDescent="0.2">
      <c r="A208">
        <v>13</v>
      </c>
      <c r="B208">
        <v>13</v>
      </c>
      <c r="C208" t="s">
        <v>34</v>
      </c>
      <c r="F208" t="s">
        <v>33</v>
      </c>
      <c r="G208" s="5">
        <v>199.9</v>
      </c>
      <c r="R208" s="2" t="s">
        <v>59</v>
      </c>
    </row>
    <row r="209" spans="1:18" x14ac:dyDescent="0.2">
      <c r="A209">
        <v>14</v>
      </c>
      <c r="B209">
        <v>14</v>
      </c>
      <c r="C209" t="s">
        <v>35</v>
      </c>
      <c r="F209" t="s">
        <v>33</v>
      </c>
      <c r="G209" s="5">
        <v>199.9</v>
      </c>
      <c r="R209" s="2" t="s">
        <v>59</v>
      </c>
    </row>
    <row r="210" spans="1:18" x14ac:dyDescent="0.2">
      <c r="A210">
        <v>15</v>
      </c>
      <c r="B210">
        <v>15</v>
      </c>
      <c r="C210" t="s">
        <v>36</v>
      </c>
      <c r="F210" t="s">
        <v>33</v>
      </c>
      <c r="G210" s="5">
        <v>199.9</v>
      </c>
      <c r="R210" s="2" t="s">
        <v>59</v>
      </c>
    </row>
    <row r="211" spans="1:18" x14ac:dyDescent="0.2">
      <c r="A211">
        <v>16</v>
      </c>
      <c r="B211">
        <v>16</v>
      </c>
      <c r="C211" t="s">
        <v>37</v>
      </c>
      <c r="F211" t="s">
        <v>33</v>
      </c>
      <c r="G211" s="5">
        <v>199.9</v>
      </c>
      <c r="R211" s="2" t="s">
        <v>59</v>
      </c>
    </row>
    <row r="212" spans="1:18" x14ac:dyDescent="0.2">
      <c r="A212">
        <v>17</v>
      </c>
      <c r="B212">
        <v>17</v>
      </c>
      <c r="C212" t="s">
        <v>38</v>
      </c>
      <c r="F212" t="s">
        <v>33</v>
      </c>
      <c r="G212" s="5">
        <v>199.9</v>
      </c>
      <c r="R212" s="2" t="s">
        <v>59</v>
      </c>
    </row>
    <row r="213" spans="1:18" x14ac:dyDescent="0.2">
      <c r="A213">
        <v>18</v>
      </c>
      <c r="B213">
        <v>18</v>
      </c>
      <c r="C213" t="s">
        <v>39</v>
      </c>
      <c r="E213" s="5">
        <v>3.64</v>
      </c>
      <c r="F213" t="s">
        <v>33</v>
      </c>
      <c r="G213" s="5">
        <v>199.9</v>
      </c>
      <c r="H213">
        <v>-44.9</v>
      </c>
      <c r="I213" t="s">
        <v>18</v>
      </c>
      <c r="J213" s="1">
        <v>110.1434</v>
      </c>
      <c r="K213" s="6">
        <v>495267</v>
      </c>
      <c r="M213">
        <v>495266.90600000002</v>
      </c>
      <c r="O213" s="7">
        <v>64553.824000000001</v>
      </c>
      <c r="R213" s="5">
        <f t="shared" ref="R213:R217" si="11">100+H213</f>
        <v>55.1</v>
      </c>
    </row>
    <row r="214" spans="1:18" x14ac:dyDescent="0.2">
      <c r="A214">
        <v>19</v>
      </c>
      <c r="B214">
        <v>19</v>
      </c>
      <c r="C214" t="s">
        <v>40</v>
      </c>
      <c r="E214" s="5">
        <v>3.64</v>
      </c>
      <c r="F214" t="s">
        <v>33</v>
      </c>
      <c r="G214" s="5">
        <v>199.9</v>
      </c>
      <c r="H214">
        <v>-45</v>
      </c>
      <c r="I214" t="s">
        <v>18</v>
      </c>
      <c r="J214" s="1">
        <v>109.8608</v>
      </c>
      <c r="K214" s="6">
        <v>493996</v>
      </c>
      <c r="M214">
        <v>493996.34399999998</v>
      </c>
      <c r="O214" s="7">
        <v>50001.076000000001</v>
      </c>
      <c r="R214" s="5">
        <f t="shared" si="11"/>
        <v>55</v>
      </c>
    </row>
    <row r="215" spans="1:18" x14ac:dyDescent="0.2">
      <c r="A215">
        <v>20</v>
      </c>
      <c r="B215">
        <v>20</v>
      </c>
      <c r="C215" t="s">
        <v>41</v>
      </c>
      <c r="E215" s="5">
        <v>3.64</v>
      </c>
      <c r="F215" t="s">
        <v>33</v>
      </c>
      <c r="G215" s="5">
        <v>199.9</v>
      </c>
      <c r="H215">
        <v>-45.1</v>
      </c>
      <c r="I215" t="s">
        <v>18</v>
      </c>
      <c r="J215" s="1">
        <v>109.7186</v>
      </c>
      <c r="K215" s="6">
        <v>493357</v>
      </c>
      <c r="M215">
        <v>493356.71899999998</v>
      </c>
      <c r="O215" s="7">
        <v>9832043</v>
      </c>
      <c r="R215" s="5">
        <f t="shared" si="11"/>
        <v>54.9</v>
      </c>
    </row>
    <row r="216" spans="1:18" x14ac:dyDescent="0.2">
      <c r="A216">
        <v>21</v>
      </c>
      <c r="B216">
        <v>21</v>
      </c>
      <c r="C216" t="s">
        <v>42</v>
      </c>
      <c r="E216" s="5">
        <v>3.64</v>
      </c>
      <c r="F216" t="s">
        <v>33</v>
      </c>
      <c r="G216" s="5">
        <v>199.9</v>
      </c>
      <c r="H216">
        <v>-44.2</v>
      </c>
      <c r="I216" t="s">
        <v>18</v>
      </c>
      <c r="J216" s="1">
        <v>111.5793</v>
      </c>
      <c r="K216" s="6">
        <v>501724</v>
      </c>
      <c r="M216">
        <v>501723.78100000002</v>
      </c>
      <c r="O216" s="7">
        <v>52784.707999999999</v>
      </c>
      <c r="R216" s="5">
        <f t="shared" si="11"/>
        <v>55.8</v>
      </c>
    </row>
    <row r="217" spans="1:18" x14ac:dyDescent="0.2">
      <c r="A217">
        <v>22</v>
      </c>
      <c r="B217">
        <v>22</v>
      </c>
      <c r="C217" t="s">
        <v>43</v>
      </c>
      <c r="E217" s="5">
        <v>3.64</v>
      </c>
      <c r="F217" t="s">
        <v>33</v>
      </c>
      <c r="G217" s="5">
        <v>199.9</v>
      </c>
      <c r="H217">
        <v>-43.9</v>
      </c>
      <c r="I217" t="s">
        <v>18</v>
      </c>
      <c r="J217" s="1">
        <v>112.1223</v>
      </c>
      <c r="K217" s="6">
        <v>504165</v>
      </c>
      <c r="M217">
        <v>504165.18800000002</v>
      </c>
      <c r="O217" s="7">
        <v>10137413</v>
      </c>
      <c r="R217" s="5">
        <f t="shared" si="11"/>
        <v>56.1</v>
      </c>
    </row>
    <row r="218" spans="1:18" x14ac:dyDescent="0.2">
      <c r="A218">
        <v>8</v>
      </c>
      <c r="B218">
        <v>8</v>
      </c>
      <c r="C218" t="s">
        <v>44</v>
      </c>
      <c r="G218" s="5">
        <v>199.9</v>
      </c>
    </row>
    <row r="219" spans="1:18" x14ac:dyDescent="0.2">
      <c r="A219">
        <v>9</v>
      </c>
      <c r="B219">
        <v>9</v>
      </c>
      <c r="C219" t="s">
        <v>45</v>
      </c>
      <c r="G219" s="5">
        <v>199.9</v>
      </c>
    </row>
    <row r="220" spans="1:18" x14ac:dyDescent="0.2">
      <c r="A220">
        <v>10</v>
      </c>
      <c r="B220">
        <v>10</v>
      </c>
      <c r="C220" t="s">
        <v>46</v>
      </c>
      <c r="G220" s="5">
        <v>199.9</v>
      </c>
    </row>
    <row r="221" spans="1:18" x14ac:dyDescent="0.2">
      <c r="A221">
        <v>11</v>
      </c>
      <c r="B221">
        <v>11</v>
      </c>
      <c r="C221" t="s">
        <v>47</v>
      </c>
      <c r="G221" s="5">
        <v>199.9</v>
      </c>
    </row>
    <row r="222" spans="1:18" x14ac:dyDescent="0.2">
      <c r="A222">
        <v>23</v>
      </c>
      <c r="B222">
        <v>23</v>
      </c>
      <c r="C222" t="s">
        <v>48</v>
      </c>
      <c r="G222" s="5">
        <v>199.9</v>
      </c>
    </row>
    <row r="223" spans="1:18" x14ac:dyDescent="0.2">
      <c r="A223">
        <v>24</v>
      </c>
      <c r="B223">
        <v>24</v>
      </c>
      <c r="C223" t="s">
        <v>49</v>
      </c>
      <c r="G223" s="5">
        <v>199.9</v>
      </c>
    </row>
    <row r="224" spans="1:18" x14ac:dyDescent="0.2">
      <c r="A224">
        <v>25</v>
      </c>
      <c r="B224">
        <v>25</v>
      </c>
      <c r="C224" t="s">
        <v>50</v>
      </c>
      <c r="G224" s="5">
        <v>199.9</v>
      </c>
    </row>
    <row r="225" spans="1:7" x14ac:dyDescent="0.2">
      <c r="A225">
        <v>26</v>
      </c>
      <c r="B225">
        <v>26</v>
      </c>
      <c r="C225" t="s">
        <v>51</v>
      </c>
      <c r="G225" s="5">
        <v>199.9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055F-B18A-4ABA-BDAD-77BC02A58AFC}">
  <dimension ref="A1:U201"/>
  <sheetViews>
    <sheetView topLeftCell="A124" zoomScaleNormal="100" workbookViewId="0">
      <selection activeCell="H113" sqref="H113"/>
    </sheetView>
  </sheetViews>
  <sheetFormatPr baseColWidth="10" defaultRowHeight="15" x14ac:dyDescent="0.2"/>
  <cols>
    <col min="1" max="1" width="4.33203125" customWidth="1"/>
    <col min="2" max="2" width="3.6640625" customWidth="1"/>
    <col min="3" max="3" width="20.6640625" customWidth="1"/>
    <col min="10" max="10" width="10.83203125" style="1"/>
    <col min="17" max="17" width="3.83203125" customWidth="1"/>
    <col min="18" max="18" width="14" bestFit="1" customWidth="1"/>
    <col min="19" max="19" width="18.1640625" bestFit="1" customWidth="1"/>
  </cols>
  <sheetData>
    <row r="1" spans="1:16" x14ac:dyDescent="0.2">
      <c r="A1" t="s">
        <v>0</v>
      </c>
    </row>
    <row r="3" spans="1:16" x14ac:dyDescent="0.2">
      <c r="A3" t="s">
        <v>83</v>
      </c>
    </row>
    <row r="5" spans="1:16" x14ac:dyDescent="0.2">
      <c r="A5" t="s">
        <v>2</v>
      </c>
    </row>
    <row r="7" spans="1:16" x14ac:dyDescent="0.2"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58</v>
      </c>
      <c r="H7" t="s">
        <v>8</v>
      </c>
      <c r="I7" t="s">
        <v>9</v>
      </c>
      <c r="J7" s="1" t="s">
        <v>84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</row>
    <row r="8" spans="1:16" x14ac:dyDescent="0.2">
      <c r="A8">
        <v>1</v>
      </c>
      <c r="B8">
        <v>1</v>
      </c>
      <c r="C8" t="s">
        <v>85</v>
      </c>
      <c r="E8">
        <v>12.19</v>
      </c>
      <c r="F8" t="s">
        <v>17</v>
      </c>
      <c r="G8">
        <v>40</v>
      </c>
      <c r="H8">
        <v>-26.2</v>
      </c>
      <c r="I8" t="s">
        <v>18</v>
      </c>
      <c r="J8" s="1">
        <v>29.532</v>
      </c>
      <c r="K8">
        <v>7953</v>
      </c>
      <c r="L8">
        <v>22007</v>
      </c>
      <c r="M8">
        <v>469.76499999999999</v>
      </c>
      <c r="N8">
        <v>2232</v>
      </c>
      <c r="O8">
        <v>1363.376</v>
      </c>
      <c r="P8">
        <v>3.5630000000000002</v>
      </c>
    </row>
    <row r="9" spans="1:16" x14ac:dyDescent="0.2">
      <c r="A9">
        <v>2</v>
      </c>
      <c r="B9">
        <v>2</v>
      </c>
      <c r="C9" t="s">
        <v>86</v>
      </c>
      <c r="E9">
        <v>12.19</v>
      </c>
      <c r="F9" t="s">
        <v>17</v>
      </c>
      <c r="G9">
        <v>110</v>
      </c>
      <c r="H9">
        <v>12</v>
      </c>
      <c r="I9" t="s">
        <v>18</v>
      </c>
      <c r="J9" s="1">
        <v>123.24550000000001</v>
      </c>
      <c r="K9">
        <v>22413</v>
      </c>
      <c r="L9">
        <v>23996</v>
      </c>
      <c r="M9">
        <v>1214.191</v>
      </c>
      <c r="N9">
        <v>6531</v>
      </c>
      <c r="O9">
        <v>2329.0790000000002</v>
      </c>
      <c r="P9">
        <v>3.4319999999999999</v>
      </c>
    </row>
    <row r="10" spans="1:16" x14ac:dyDescent="0.2">
      <c r="A10">
        <v>3</v>
      </c>
      <c r="B10">
        <v>3</v>
      </c>
      <c r="C10" t="s">
        <v>87</v>
      </c>
      <c r="E10">
        <v>12.19</v>
      </c>
      <c r="F10" t="s">
        <v>17</v>
      </c>
      <c r="G10">
        <v>200</v>
      </c>
      <c r="H10">
        <v>-0.3</v>
      </c>
      <c r="I10" t="s">
        <v>18</v>
      </c>
      <c r="J10" s="1">
        <v>199.4633</v>
      </c>
      <c r="K10">
        <v>41612</v>
      </c>
      <c r="L10">
        <v>29668</v>
      </c>
      <c r="M10">
        <v>1823.3420000000001</v>
      </c>
      <c r="N10">
        <v>11799</v>
      </c>
      <c r="O10">
        <v>2137.2399999999998</v>
      </c>
      <c r="P10">
        <v>3.5270000000000001</v>
      </c>
    </row>
    <row r="11" spans="1:16" x14ac:dyDescent="0.2">
      <c r="A11">
        <v>4</v>
      </c>
      <c r="B11">
        <v>4</v>
      </c>
      <c r="C11" t="s">
        <v>88</v>
      </c>
      <c r="E11">
        <v>12.19</v>
      </c>
      <c r="F11" t="s">
        <v>17</v>
      </c>
      <c r="G11">
        <v>540</v>
      </c>
      <c r="H11">
        <v>-6.3</v>
      </c>
      <c r="I11" t="s">
        <v>18</v>
      </c>
      <c r="J11" s="1">
        <v>505.779</v>
      </c>
      <c r="K11">
        <v>114116</v>
      </c>
      <c r="L11">
        <v>34460</v>
      </c>
      <c r="M11">
        <v>4305</v>
      </c>
      <c r="N11">
        <v>33016</v>
      </c>
      <c r="O11">
        <v>10887.142</v>
      </c>
      <c r="P11">
        <v>3.456</v>
      </c>
    </row>
    <row r="12" spans="1:16" x14ac:dyDescent="0.2">
      <c r="A12">
        <v>5</v>
      </c>
      <c r="B12">
        <v>5</v>
      </c>
      <c r="C12" t="s">
        <v>89</v>
      </c>
      <c r="E12">
        <v>12.18</v>
      </c>
      <c r="F12" t="s">
        <v>17</v>
      </c>
      <c r="G12">
        <v>1000</v>
      </c>
      <c r="H12">
        <v>-10.8</v>
      </c>
      <c r="I12" t="s">
        <v>18</v>
      </c>
      <c r="J12" s="1">
        <v>891.91120000000001</v>
      </c>
      <c r="K12">
        <v>184788</v>
      </c>
      <c r="L12">
        <v>31988</v>
      </c>
      <c r="M12">
        <v>7509.768</v>
      </c>
      <c r="N12">
        <v>53669</v>
      </c>
      <c r="O12">
        <v>24798.242999999999</v>
      </c>
      <c r="P12">
        <v>3.4430000000000001</v>
      </c>
    </row>
    <row r="13" spans="1:16" x14ac:dyDescent="0.2">
      <c r="A13">
        <v>6</v>
      </c>
      <c r="B13">
        <v>6</v>
      </c>
      <c r="C13" t="s">
        <v>90</v>
      </c>
      <c r="E13">
        <v>12.18</v>
      </c>
      <c r="F13" t="s">
        <v>17</v>
      </c>
      <c r="G13">
        <v>2000</v>
      </c>
      <c r="H13">
        <v>-15.3</v>
      </c>
      <c r="I13" t="s">
        <v>18</v>
      </c>
      <c r="J13" s="1">
        <v>1694.826</v>
      </c>
      <c r="K13">
        <v>370955</v>
      </c>
      <c r="L13">
        <v>33381</v>
      </c>
      <c r="M13">
        <v>14446.715</v>
      </c>
      <c r="N13">
        <v>106752</v>
      </c>
      <c r="O13">
        <v>34984.546000000002</v>
      </c>
      <c r="P13">
        <v>3.4750000000000001</v>
      </c>
    </row>
    <row r="14" spans="1:16" x14ac:dyDescent="0.2">
      <c r="A14">
        <v>7</v>
      </c>
      <c r="B14">
        <v>7</v>
      </c>
      <c r="C14" t="s">
        <v>91</v>
      </c>
      <c r="E14">
        <v>12.16</v>
      </c>
      <c r="F14" t="s">
        <v>17</v>
      </c>
      <c r="G14">
        <v>4000</v>
      </c>
      <c r="H14">
        <v>-5.6</v>
      </c>
      <c r="I14" t="s">
        <v>18</v>
      </c>
      <c r="J14" s="1">
        <v>3776.4740000000002</v>
      </c>
      <c r="K14">
        <v>1231391</v>
      </c>
      <c r="L14">
        <v>46878</v>
      </c>
      <c r="M14">
        <v>34148.747000000003</v>
      </c>
      <c r="N14">
        <v>348038</v>
      </c>
      <c r="O14">
        <v>33692.947</v>
      </c>
      <c r="P14">
        <v>3.5379999999999998</v>
      </c>
    </row>
    <row r="15" spans="1:16" x14ac:dyDescent="0.2">
      <c r="A15">
        <v>26</v>
      </c>
      <c r="B15">
        <v>26</v>
      </c>
      <c r="C15" t="s">
        <v>92</v>
      </c>
      <c r="E15">
        <v>12.16</v>
      </c>
      <c r="F15" t="s">
        <v>17</v>
      </c>
      <c r="G15">
        <v>110</v>
      </c>
      <c r="H15">
        <v>3.2</v>
      </c>
      <c r="I15" t="s">
        <v>18</v>
      </c>
      <c r="J15" s="1">
        <v>113.5442</v>
      </c>
      <c r="K15">
        <v>20579</v>
      </c>
      <c r="L15">
        <v>23531</v>
      </c>
      <c r="M15">
        <v>1136.895</v>
      </c>
      <c r="N15">
        <v>5990</v>
      </c>
      <c r="O15">
        <v>3958.895</v>
      </c>
      <c r="P15">
        <v>3.4350000000000001</v>
      </c>
    </row>
    <row r="16" spans="1:16" x14ac:dyDescent="0.2">
      <c r="A16">
        <v>27</v>
      </c>
      <c r="B16">
        <v>27</v>
      </c>
      <c r="C16" t="s">
        <v>93</v>
      </c>
      <c r="E16">
        <v>12.15</v>
      </c>
      <c r="F16" t="s">
        <v>17</v>
      </c>
      <c r="G16">
        <v>540</v>
      </c>
      <c r="H16">
        <v>14</v>
      </c>
      <c r="I16" t="s">
        <v>18</v>
      </c>
      <c r="J16" s="1">
        <v>615.38670000000002</v>
      </c>
      <c r="K16">
        <v>104237</v>
      </c>
      <c r="L16">
        <v>26029</v>
      </c>
      <c r="M16">
        <v>5206.04</v>
      </c>
      <c r="N16">
        <v>30429</v>
      </c>
      <c r="O16">
        <v>16404.635999999999</v>
      </c>
      <c r="P16">
        <v>3.4260000000000002</v>
      </c>
    </row>
    <row r="17" spans="1:21" x14ac:dyDescent="0.2">
      <c r="A17">
        <v>28</v>
      </c>
      <c r="B17">
        <v>28</v>
      </c>
      <c r="C17" t="s">
        <v>94</v>
      </c>
      <c r="E17">
        <v>12.15</v>
      </c>
      <c r="F17" t="s">
        <v>17</v>
      </c>
      <c r="G17">
        <v>1000</v>
      </c>
      <c r="H17">
        <v>26.7</v>
      </c>
      <c r="I17" t="s">
        <v>18</v>
      </c>
      <c r="J17" s="1">
        <v>1267.1928</v>
      </c>
      <c r="K17">
        <v>184985</v>
      </c>
      <c r="L17">
        <v>22462</v>
      </c>
      <c r="M17">
        <v>10706.195</v>
      </c>
      <c r="N17">
        <v>53556</v>
      </c>
      <c r="O17">
        <v>10769.268</v>
      </c>
      <c r="P17">
        <v>3.4540000000000002</v>
      </c>
    </row>
    <row r="18" spans="1:21" x14ac:dyDescent="0.2">
      <c r="A18">
        <v>29</v>
      </c>
      <c r="B18">
        <v>29</v>
      </c>
      <c r="C18" t="s">
        <v>95</v>
      </c>
      <c r="E18">
        <v>12.16</v>
      </c>
      <c r="F18" t="s">
        <v>17</v>
      </c>
      <c r="G18">
        <v>4000</v>
      </c>
      <c r="H18">
        <v>7.9</v>
      </c>
      <c r="I18" t="s">
        <v>18</v>
      </c>
      <c r="J18" s="1">
        <v>4315.0618999999997</v>
      </c>
      <c r="K18">
        <v>810981</v>
      </c>
      <c r="L18">
        <v>26590</v>
      </c>
      <c r="M18">
        <v>39649.864999999998</v>
      </c>
      <c r="N18">
        <v>236615</v>
      </c>
      <c r="O18">
        <v>61756.887999999999</v>
      </c>
      <c r="P18">
        <v>3.427</v>
      </c>
    </row>
    <row r="19" spans="1:21" x14ac:dyDescent="0.2">
      <c r="A19">
        <v>8</v>
      </c>
      <c r="B19">
        <v>8</v>
      </c>
      <c r="C19" t="s">
        <v>96</v>
      </c>
      <c r="E19">
        <v>12.16</v>
      </c>
      <c r="I19" t="s">
        <v>18</v>
      </c>
      <c r="K19">
        <v>589</v>
      </c>
      <c r="N19">
        <v>167</v>
      </c>
      <c r="O19">
        <v>38.033000000000001</v>
      </c>
      <c r="P19">
        <v>3.5150000000000001</v>
      </c>
    </row>
    <row r="20" spans="1:21" x14ac:dyDescent="0.2">
      <c r="A20">
        <v>9</v>
      </c>
      <c r="B20">
        <v>9</v>
      </c>
      <c r="C20" t="s">
        <v>97</v>
      </c>
      <c r="E20">
        <v>12.16</v>
      </c>
      <c r="I20" t="s">
        <v>18</v>
      </c>
      <c r="K20">
        <v>198</v>
      </c>
      <c r="N20">
        <v>46</v>
      </c>
      <c r="O20">
        <v>12.592000000000001</v>
      </c>
      <c r="P20">
        <v>4.266</v>
      </c>
    </row>
    <row r="21" spans="1:21" x14ac:dyDescent="0.2">
      <c r="A21">
        <v>10</v>
      </c>
      <c r="B21">
        <v>10</v>
      </c>
      <c r="C21" t="s">
        <v>98</v>
      </c>
    </row>
    <row r="22" spans="1:21" x14ac:dyDescent="0.2">
      <c r="A22">
        <v>11</v>
      </c>
      <c r="B22">
        <v>11</v>
      </c>
      <c r="C22" t="s">
        <v>99</v>
      </c>
      <c r="L22">
        <v>36706</v>
      </c>
      <c r="R22" s="5" t="s">
        <v>61</v>
      </c>
      <c r="S22" t="s">
        <v>100</v>
      </c>
      <c r="T22" s="5" t="s">
        <v>101</v>
      </c>
      <c r="U22" s="5" t="s">
        <v>80</v>
      </c>
    </row>
    <row r="23" spans="1:21" x14ac:dyDescent="0.2">
      <c r="A23">
        <v>12</v>
      </c>
      <c r="B23">
        <v>12</v>
      </c>
      <c r="C23" t="s">
        <v>102</v>
      </c>
      <c r="E23">
        <v>12.16</v>
      </c>
      <c r="I23" t="s">
        <v>103</v>
      </c>
      <c r="K23">
        <v>135</v>
      </c>
      <c r="L23">
        <v>3434</v>
      </c>
      <c r="M23">
        <v>3.9430000000000001</v>
      </c>
      <c r="N23">
        <v>34</v>
      </c>
      <c r="O23">
        <v>7.4210000000000003</v>
      </c>
      <c r="P23">
        <v>4.0229999999999997</v>
      </c>
      <c r="R23" s="5">
        <v>4.8418999999999999</v>
      </c>
      <c r="S23" s="11">
        <f>(J23*200*20/1000)*9/8</f>
        <v>0</v>
      </c>
      <c r="T23" s="12">
        <f>(S23*1000/R23)/1000</f>
        <v>0</v>
      </c>
      <c r="U23" s="5">
        <f>100+H56</f>
        <v>153</v>
      </c>
    </row>
    <row r="24" spans="1:21" x14ac:dyDescent="0.2">
      <c r="A24">
        <v>13</v>
      </c>
      <c r="B24">
        <v>13</v>
      </c>
      <c r="C24" t="s">
        <v>104</v>
      </c>
      <c r="E24">
        <v>12.16</v>
      </c>
      <c r="I24" t="s">
        <v>103</v>
      </c>
      <c r="K24">
        <v>185</v>
      </c>
      <c r="L24">
        <v>3370</v>
      </c>
      <c r="M24">
        <v>5.4850000000000003</v>
      </c>
      <c r="N24">
        <v>74</v>
      </c>
      <c r="O24">
        <v>72.497</v>
      </c>
      <c r="P24">
        <v>2.4860000000000002</v>
      </c>
      <c r="R24" s="5">
        <v>4.8068999999999997</v>
      </c>
      <c r="S24" s="11">
        <f t="shared" ref="S24:S32" si="0">(J24*200*20/1000)*9/8</f>
        <v>0</v>
      </c>
      <c r="T24" s="12">
        <f t="shared" ref="T24:T32" si="1">(S24*1000/R24)/1000</f>
        <v>0</v>
      </c>
      <c r="U24" s="5">
        <f t="shared" ref="U24:U32" si="2">100+H57</f>
        <v>150.1</v>
      </c>
    </row>
    <row r="25" spans="1:21" x14ac:dyDescent="0.2">
      <c r="A25">
        <v>14</v>
      </c>
      <c r="B25">
        <v>14</v>
      </c>
      <c r="C25" t="s">
        <v>105</v>
      </c>
      <c r="E25">
        <v>12.16</v>
      </c>
      <c r="I25" t="s">
        <v>106</v>
      </c>
      <c r="K25">
        <v>62</v>
      </c>
      <c r="L25">
        <v>3145</v>
      </c>
      <c r="M25">
        <v>1.976</v>
      </c>
      <c r="O25">
        <v>24.754999999999999</v>
      </c>
      <c r="R25" s="5">
        <v>5.0617000000000001</v>
      </c>
      <c r="S25" s="11">
        <f t="shared" si="0"/>
        <v>0</v>
      </c>
      <c r="T25" s="12">
        <f t="shared" si="1"/>
        <v>0</v>
      </c>
      <c r="U25" s="5">
        <f t="shared" si="2"/>
        <v>140.1</v>
      </c>
    </row>
    <row r="26" spans="1:21" x14ac:dyDescent="0.2">
      <c r="A26">
        <v>15</v>
      </c>
      <c r="B26">
        <v>15</v>
      </c>
      <c r="C26" t="s">
        <v>107</v>
      </c>
      <c r="E26">
        <v>12.16</v>
      </c>
      <c r="I26" t="s">
        <v>106</v>
      </c>
      <c r="K26">
        <v>74</v>
      </c>
      <c r="L26">
        <v>2838</v>
      </c>
      <c r="M26">
        <v>2.5960000000000001</v>
      </c>
      <c r="O26">
        <v>18.457999999999998</v>
      </c>
      <c r="R26" s="5">
        <v>4.8475999999999999</v>
      </c>
      <c r="S26" s="11">
        <f t="shared" si="0"/>
        <v>0</v>
      </c>
      <c r="T26" s="12">
        <f t="shared" si="1"/>
        <v>0</v>
      </c>
      <c r="U26" s="5">
        <f t="shared" si="2"/>
        <v>126.4</v>
      </c>
    </row>
    <row r="27" spans="1:21" x14ac:dyDescent="0.2">
      <c r="A27">
        <v>16</v>
      </c>
      <c r="B27">
        <v>16</v>
      </c>
      <c r="C27" t="s">
        <v>108</v>
      </c>
      <c r="E27">
        <v>12.16</v>
      </c>
      <c r="I27" t="s">
        <v>106</v>
      </c>
      <c r="K27">
        <v>93</v>
      </c>
      <c r="L27">
        <v>2828</v>
      </c>
      <c r="M27">
        <v>3.298</v>
      </c>
      <c r="O27">
        <v>11.263</v>
      </c>
      <c r="R27" s="5">
        <v>5.1044</v>
      </c>
      <c r="S27" s="11">
        <f t="shared" si="0"/>
        <v>0</v>
      </c>
      <c r="T27" s="12">
        <f t="shared" si="1"/>
        <v>0</v>
      </c>
      <c r="U27" s="5">
        <f t="shared" si="2"/>
        <v>126</v>
      </c>
    </row>
    <row r="28" spans="1:21" x14ac:dyDescent="0.2">
      <c r="A28">
        <v>17</v>
      </c>
      <c r="B28">
        <v>17</v>
      </c>
      <c r="C28" t="s">
        <v>109</v>
      </c>
      <c r="E28">
        <v>12.16</v>
      </c>
      <c r="I28" t="s">
        <v>106</v>
      </c>
      <c r="K28">
        <v>68</v>
      </c>
      <c r="L28">
        <v>2567</v>
      </c>
      <c r="M28">
        <v>2.6320000000000001</v>
      </c>
      <c r="O28">
        <v>5.4459999999999997</v>
      </c>
      <c r="R28" s="5">
        <v>4.9059999999999997</v>
      </c>
      <c r="S28" s="11">
        <f t="shared" si="0"/>
        <v>0</v>
      </c>
      <c r="T28" s="12">
        <f t="shared" si="1"/>
        <v>0</v>
      </c>
      <c r="U28" s="5">
        <f t="shared" si="2"/>
        <v>114.4</v>
      </c>
    </row>
    <row r="29" spans="1:21" x14ac:dyDescent="0.2">
      <c r="A29">
        <v>18</v>
      </c>
      <c r="B29">
        <v>18</v>
      </c>
      <c r="C29" t="s">
        <v>110</v>
      </c>
      <c r="E29">
        <v>12.16</v>
      </c>
      <c r="I29" t="s">
        <v>103</v>
      </c>
      <c r="K29">
        <v>106</v>
      </c>
      <c r="L29">
        <v>2319</v>
      </c>
      <c r="M29">
        <v>4.5609999999999999</v>
      </c>
      <c r="O29">
        <v>11.3</v>
      </c>
      <c r="R29" s="5">
        <v>4.9728000000000003</v>
      </c>
      <c r="S29" s="11">
        <f t="shared" si="0"/>
        <v>0</v>
      </c>
      <c r="T29" s="12">
        <f t="shared" si="1"/>
        <v>0</v>
      </c>
      <c r="U29" s="5">
        <f t="shared" si="2"/>
        <v>103.3</v>
      </c>
    </row>
    <row r="30" spans="1:21" x14ac:dyDescent="0.2">
      <c r="A30">
        <v>19</v>
      </c>
      <c r="B30">
        <v>19</v>
      </c>
      <c r="C30" t="s">
        <v>111</v>
      </c>
      <c r="E30">
        <v>12.16</v>
      </c>
      <c r="I30" t="s">
        <v>106</v>
      </c>
      <c r="K30">
        <v>51</v>
      </c>
      <c r="L30">
        <v>2232</v>
      </c>
      <c r="M30">
        <v>2.2999999999999998</v>
      </c>
      <c r="O30">
        <v>4.7539999999999996</v>
      </c>
      <c r="R30" s="5">
        <v>4.9157999999999999</v>
      </c>
      <c r="S30" s="11">
        <f t="shared" si="0"/>
        <v>0</v>
      </c>
      <c r="T30" s="12">
        <f t="shared" si="1"/>
        <v>0</v>
      </c>
      <c r="U30" s="5">
        <f t="shared" si="2"/>
        <v>99.4</v>
      </c>
    </row>
    <row r="31" spans="1:21" x14ac:dyDescent="0.2">
      <c r="A31">
        <v>20</v>
      </c>
      <c r="B31">
        <v>20</v>
      </c>
      <c r="C31" t="s">
        <v>112</v>
      </c>
      <c r="E31">
        <v>12.16</v>
      </c>
      <c r="I31" t="s">
        <v>106</v>
      </c>
      <c r="K31">
        <v>59</v>
      </c>
      <c r="L31">
        <v>2052</v>
      </c>
      <c r="M31">
        <v>2.8690000000000002</v>
      </c>
      <c r="O31">
        <v>22.648</v>
      </c>
      <c r="R31" s="5">
        <v>5.1893000000000002</v>
      </c>
      <c r="S31" s="11">
        <f t="shared" si="0"/>
        <v>0</v>
      </c>
      <c r="T31" s="12">
        <f t="shared" si="1"/>
        <v>0</v>
      </c>
      <c r="U31" s="5">
        <f t="shared" si="2"/>
        <v>91.4</v>
      </c>
    </row>
    <row r="32" spans="1:21" x14ac:dyDescent="0.2">
      <c r="A32">
        <v>21</v>
      </c>
      <c r="B32">
        <v>21</v>
      </c>
      <c r="C32" t="s">
        <v>113</v>
      </c>
      <c r="E32">
        <v>12.16</v>
      </c>
      <c r="I32" t="s">
        <v>106</v>
      </c>
      <c r="K32">
        <v>77</v>
      </c>
      <c r="L32">
        <v>2254</v>
      </c>
      <c r="M32">
        <v>3.4260000000000002</v>
      </c>
      <c r="O32">
        <v>10.099</v>
      </c>
      <c r="R32" s="5">
        <v>4.9038000000000004</v>
      </c>
      <c r="S32" s="11">
        <f t="shared" si="0"/>
        <v>0</v>
      </c>
      <c r="T32" s="12">
        <f t="shared" si="1"/>
        <v>0</v>
      </c>
      <c r="U32" s="5">
        <f t="shared" si="2"/>
        <v>100.4</v>
      </c>
    </row>
    <row r="33" spans="1:16" x14ac:dyDescent="0.2">
      <c r="A33">
        <v>22</v>
      </c>
      <c r="B33">
        <v>22</v>
      </c>
      <c r="C33" t="s">
        <v>114</v>
      </c>
    </row>
    <row r="34" spans="1:16" x14ac:dyDescent="0.2">
      <c r="A34">
        <v>23</v>
      </c>
      <c r="B34">
        <v>23</v>
      </c>
      <c r="C34" t="s">
        <v>115</v>
      </c>
    </row>
    <row r="35" spans="1:16" x14ac:dyDescent="0.2">
      <c r="A35">
        <v>24</v>
      </c>
      <c r="B35">
        <v>24</v>
      </c>
      <c r="C35" t="s">
        <v>116</v>
      </c>
    </row>
    <row r="36" spans="1:16" x14ac:dyDescent="0.2">
      <c r="A36">
        <v>25</v>
      </c>
      <c r="B36">
        <v>25</v>
      </c>
      <c r="C36" t="s">
        <v>117</v>
      </c>
      <c r="L36">
        <v>24253</v>
      </c>
    </row>
    <row r="38" spans="1:16" x14ac:dyDescent="0.2">
      <c r="A38" t="s">
        <v>52</v>
      </c>
    </row>
    <row r="40" spans="1:16" x14ac:dyDescent="0.2"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58</v>
      </c>
      <c r="H40" t="s">
        <v>8</v>
      </c>
      <c r="I40" t="s">
        <v>9</v>
      </c>
      <c r="J40" s="1" t="s">
        <v>84</v>
      </c>
      <c r="K40" t="s">
        <v>10</v>
      </c>
      <c r="L40" t="s">
        <v>11</v>
      </c>
      <c r="M40" t="s">
        <v>12</v>
      </c>
      <c r="N40" t="s">
        <v>13</v>
      </c>
      <c r="O40" t="s">
        <v>14</v>
      </c>
      <c r="P40" t="s">
        <v>15</v>
      </c>
    </row>
    <row r="41" spans="1:16" x14ac:dyDescent="0.2">
      <c r="A41">
        <v>1</v>
      </c>
      <c r="B41">
        <v>1</v>
      </c>
      <c r="C41" t="s">
        <v>85</v>
      </c>
      <c r="E41">
        <v>12.18</v>
      </c>
      <c r="F41" t="s">
        <v>17</v>
      </c>
      <c r="G41">
        <v>1300</v>
      </c>
      <c r="H41">
        <v>-24.6</v>
      </c>
      <c r="I41" t="s">
        <v>18</v>
      </c>
      <c r="J41" s="1">
        <v>980.42370000000005</v>
      </c>
      <c r="K41">
        <v>22007</v>
      </c>
      <c r="M41">
        <v>22007.471000000001</v>
      </c>
      <c r="O41">
        <v>4900.652</v>
      </c>
    </row>
    <row r="42" spans="1:16" x14ac:dyDescent="0.2">
      <c r="A42">
        <v>2</v>
      </c>
      <c r="B42">
        <v>2</v>
      </c>
      <c r="C42" t="s">
        <v>86</v>
      </c>
      <c r="E42">
        <v>12.18</v>
      </c>
      <c r="F42" t="s">
        <v>17</v>
      </c>
      <c r="G42">
        <v>1300</v>
      </c>
      <c r="H42">
        <v>-17.8</v>
      </c>
      <c r="I42" t="s">
        <v>18</v>
      </c>
      <c r="J42" s="1">
        <v>1069.0340000000001</v>
      </c>
      <c r="K42">
        <v>23996</v>
      </c>
      <c r="M42">
        <v>23996.495999999999</v>
      </c>
      <c r="O42">
        <v>2118.9490000000001</v>
      </c>
    </row>
    <row r="43" spans="1:16" x14ac:dyDescent="0.2">
      <c r="A43">
        <v>3</v>
      </c>
      <c r="B43">
        <v>3</v>
      </c>
      <c r="C43" t="s">
        <v>87</v>
      </c>
      <c r="E43">
        <v>12.17</v>
      </c>
      <c r="F43" t="s">
        <v>17</v>
      </c>
      <c r="G43">
        <v>1300</v>
      </c>
      <c r="H43">
        <v>1.7</v>
      </c>
      <c r="I43" t="s">
        <v>18</v>
      </c>
      <c r="J43" s="1">
        <v>1321.7146</v>
      </c>
      <c r="K43">
        <v>29668</v>
      </c>
      <c r="M43">
        <v>29668.393</v>
      </c>
      <c r="O43">
        <v>4322.8559999999998</v>
      </c>
    </row>
    <row r="44" spans="1:16" x14ac:dyDescent="0.2">
      <c r="A44">
        <v>4</v>
      </c>
      <c r="B44">
        <v>4</v>
      </c>
      <c r="C44" t="s">
        <v>88</v>
      </c>
      <c r="E44">
        <v>12.17</v>
      </c>
      <c r="F44" t="s">
        <v>17</v>
      </c>
      <c r="G44">
        <v>1300</v>
      </c>
      <c r="H44">
        <v>18.100000000000001</v>
      </c>
      <c r="I44" t="s">
        <v>18</v>
      </c>
      <c r="J44" s="1">
        <v>1535.1858999999999</v>
      </c>
      <c r="K44">
        <v>34460</v>
      </c>
      <c r="M44">
        <v>34460.160000000003</v>
      </c>
      <c r="O44">
        <v>3411.2550000000001</v>
      </c>
    </row>
    <row r="45" spans="1:16" x14ac:dyDescent="0.2">
      <c r="A45">
        <v>5</v>
      </c>
      <c r="B45">
        <v>5</v>
      </c>
      <c r="C45" t="s">
        <v>89</v>
      </c>
      <c r="E45">
        <v>12.17</v>
      </c>
      <c r="F45" t="s">
        <v>17</v>
      </c>
      <c r="G45">
        <v>1300</v>
      </c>
      <c r="H45">
        <v>9.6</v>
      </c>
      <c r="I45" t="s">
        <v>18</v>
      </c>
      <c r="J45" s="1">
        <v>1425.0608999999999</v>
      </c>
      <c r="K45">
        <v>31988</v>
      </c>
      <c r="M45">
        <v>31988.197</v>
      </c>
      <c r="O45">
        <v>3627.192</v>
      </c>
    </row>
    <row r="46" spans="1:16" x14ac:dyDescent="0.2">
      <c r="A46">
        <v>6</v>
      </c>
      <c r="B46">
        <v>6</v>
      </c>
      <c r="C46" t="s">
        <v>90</v>
      </c>
      <c r="E46">
        <v>12.17</v>
      </c>
      <c r="F46" t="s">
        <v>17</v>
      </c>
      <c r="G46">
        <v>1300</v>
      </c>
      <c r="H46">
        <v>14.4</v>
      </c>
      <c r="I46" t="s">
        <v>18</v>
      </c>
      <c r="J46" s="1">
        <v>1487.0951</v>
      </c>
      <c r="K46">
        <v>33381</v>
      </c>
      <c r="M46">
        <v>33380.671999999999</v>
      </c>
      <c r="O46">
        <v>2791.6179999999999</v>
      </c>
    </row>
    <row r="47" spans="1:16" x14ac:dyDescent="0.2">
      <c r="A47">
        <v>7</v>
      </c>
      <c r="B47">
        <v>7</v>
      </c>
      <c r="C47" t="s">
        <v>91</v>
      </c>
      <c r="E47">
        <v>12.14</v>
      </c>
      <c r="F47" t="s">
        <v>17</v>
      </c>
      <c r="G47">
        <v>1300</v>
      </c>
      <c r="H47">
        <v>60.6</v>
      </c>
      <c r="I47" t="s">
        <v>18</v>
      </c>
      <c r="J47" s="1">
        <v>2088.3744000000002</v>
      </c>
      <c r="K47">
        <v>46878</v>
      </c>
      <c r="M47">
        <v>46877.527000000002</v>
      </c>
      <c r="O47">
        <v>8213.8590000000004</v>
      </c>
    </row>
    <row r="48" spans="1:16" x14ac:dyDescent="0.2">
      <c r="A48">
        <v>26</v>
      </c>
      <c r="B48">
        <v>26</v>
      </c>
      <c r="C48" t="s">
        <v>92</v>
      </c>
      <c r="E48">
        <v>12.14</v>
      </c>
      <c r="F48" t="s">
        <v>17</v>
      </c>
      <c r="G48">
        <v>1300</v>
      </c>
      <c r="H48">
        <v>-19.399999999999999</v>
      </c>
      <c r="I48" t="s">
        <v>18</v>
      </c>
      <c r="J48" s="1">
        <v>1048.3091999999999</v>
      </c>
      <c r="K48">
        <v>23531</v>
      </c>
      <c r="M48">
        <v>23531.289000000001</v>
      </c>
      <c r="O48">
        <v>13269.377</v>
      </c>
    </row>
    <row r="49" spans="1:15" x14ac:dyDescent="0.2">
      <c r="A49">
        <v>27</v>
      </c>
      <c r="B49">
        <v>27</v>
      </c>
      <c r="C49" t="s">
        <v>93</v>
      </c>
      <c r="E49">
        <v>12.14</v>
      </c>
      <c r="F49" t="s">
        <v>17</v>
      </c>
      <c r="G49">
        <v>1300</v>
      </c>
      <c r="H49">
        <v>-10.8</v>
      </c>
      <c r="I49" t="s">
        <v>18</v>
      </c>
      <c r="J49" s="1">
        <v>1159.5824</v>
      </c>
      <c r="K49">
        <v>26029</v>
      </c>
      <c r="M49">
        <v>26029.026999999998</v>
      </c>
      <c r="O49">
        <v>916.17899999999997</v>
      </c>
    </row>
    <row r="50" spans="1:15" x14ac:dyDescent="0.2">
      <c r="A50">
        <v>28</v>
      </c>
      <c r="B50">
        <v>28</v>
      </c>
      <c r="C50" t="s">
        <v>94</v>
      </c>
      <c r="E50">
        <v>12.14</v>
      </c>
      <c r="F50" t="s">
        <v>17</v>
      </c>
      <c r="G50">
        <v>1300</v>
      </c>
      <c r="H50">
        <v>-23</v>
      </c>
      <c r="I50" t="s">
        <v>18</v>
      </c>
      <c r="J50" s="1">
        <v>1000.663</v>
      </c>
      <c r="K50">
        <v>22462</v>
      </c>
      <c r="M50">
        <v>22461.778999999999</v>
      </c>
      <c r="O50">
        <v>4695.4549999999999</v>
      </c>
    </row>
    <row r="51" spans="1:15" x14ac:dyDescent="0.2">
      <c r="A51">
        <v>29</v>
      </c>
      <c r="B51">
        <v>29</v>
      </c>
      <c r="C51" t="s">
        <v>95</v>
      </c>
      <c r="E51">
        <v>12.14</v>
      </c>
      <c r="F51" t="s">
        <v>17</v>
      </c>
      <c r="G51">
        <v>1300</v>
      </c>
      <c r="H51">
        <v>-8.9</v>
      </c>
      <c r="I51" t="s">
        <v>18</v>
      </c>
      <c r="J51" s="1">
        <v>1184.5567000000001</v>
      </c>
      <c r="K51">
        <v>26590</v>
      </c>
      <c r="M51">
        <v>26589.623</v>
      </c>
      <c r="O51">
        <v>9448.6740000000009</v>
      </c>
    </row>
    <row r="52" spans="1:15" x14ac:dyDescent="0.2">
      <c r="A52">
        <v>8</v>
      </c>
      <c r="B52">
        <v>8</v>
      </c>
      <c r="C52" t="s">
        <v>96</v>
      </c>
    </row>
    <row r="53" spans="1:15" x14ac:dyDescent="0.2">
      <c r="A53">
        <v>9</v>
      </c>
      <c r="B53">
        <v>9</v>
      </c>
      <c r="C53" t="s">
        <v>97</v>
      </c>
    </row>
    <row r="54" spans="1:15" x14ac:dyDescent="0.2">
      <c r="A54">
        <v>10</v>
      </c>
      <c r="B54">
        <v>10</v>
      </c>
      <c r="C54" t="s">
        <v>98</v>
      </c>
    </row>
    <row r="55" spans="1:15" x14ac:dyDescent="0.2">
      <c r="A55">
        <v>11</v>
      </c>
      <c r="B55">
        <v>11</v>
      </c>
      <c r="C55" t="s">
        <v>99</v>
      </c>
      <c r="E55">
        <v>12.14</v>
      </c>
      <c r="G55">
        <v>1300</v>
      </c>
      <c r="H55">
        <v>25.8</v>
      </c>
      <c r="I55" t="s">
        <v>18</v>
      </c>
      <c r="J55" s="1">
        <v>1635.2451000000001</v>
      </c>
      <c r="K55">
        <v>36706</v>
      </c>
      <c r="M55">
        <v>36706.18</v>
      </c>
      <c r="O55">
        <v>3661.8429999999998</v>
      </c>
    </row>
    <row r="56" spans="1:15" x14ac:dyDescent="0.2">
      <c r="A56">
        <v>12</v>
      </c>
      <c r="B56">
        <v>12</v>
      </c>
      <c r="C56" t="s">
        <v>102</v>
      </c>
      <c r="E56">
        <v>12.14</v>
      </c>
      <c r="G56">
        <v>100</v>
      </c>
      <c r="H56">
        <v>53</v>
      </c>
      <c r="I56" t="s">
        <v>18</v>
      </c>
      <c r="J56" s="1">
        <v>152.97739999999999</v>
      </c>
      <c r="K56">
        <v>3434</v>
      </c>
      <c r="M56">
        <v>3433.8670000000002</v>
      </c>
      <c r="O56">
        <v>1507.038</v>
      </c>
    </row>
    <row r="57" spans="1:15" x14ac:dyDescent="0.2">
      <c r="A57">
        <v>13</v>
      </c>
      <c r="B57">
        <v>13</v>
      </c>
      <c r="C57" t="s">
        <v>104</v>
      </c>
      <c r="E57">
        <v>12.14</v>
      </c>
      <c r="G57">
        <v>100</v>
      </c>
      <c r="H57">
        <v>50.1</v>
      </c>
      <c r="I57" t="s">
        <v>18</v>
      </c>
      <c r="J57" s="1">
        <v>150.14259999999999</v>
      </c>
      <c r="K57">
        <v>3370</v>
      </c>
      <c r="M57">
        <v>3370.2359999999999</v>
      </c>
      <c r="O57">
        <v>414.46600000000001</v>
      </c>
    </row>
    <row r="58" spans="1:15" x14ac:dyDescent="0.2">
      <c r="A58">
        <v>14</v>
      </c>
      <c r="B58">
        <v>14</v>
      </c>
      <c r="C58" t="s">
        <v>105</v>
      </c>
      <c r="E58">
        <v>12.15</v>
      </c>
      <c r="G58">
        <v>100</v>
      </c>
      <c r="H58">
        <v>40.1</v>
      </c>
      <c r="I58" t="s">
        <v>18</v>
      </c>
      <c r="J58" s="1">
        <v>140.0916</v>
      </c>
      <c r="K58">
        <v>3145</v>
      </c>
      <c r="M58">
        <v>3144.6210000000001</v>
      </c>
      <c r="O58">
        <v>1255.4169999999999</v>
      </c>
    </row>
    <row r="59" spans="1:15" x14ac:dyDescent="0.2">
      <c r="A59">
        <v>15</v>
      </c>
      <c r="B59">
        <v>15</v>
      </c>
      <c r="C59" t="s">
        <v>107</v>
      </c>
      <c r="E59">
        <v>12.15</v>
      </c>
      <c r="G59">
        <v>100</v>
      </c>
      <c r="H59">
        <v>26.4</v>
      </c>
      <c r="I59" t="s">
        <v>18</v>
      </c>
      <c r="J59" s="1">
        <v>126.43810000000001</v>
      </c>
      <c r="K59">
        <v>2838</v>
      </c>
      <c r="M59">
        <v>2838.1419999999998</v>
      </c>
      <c r="O59">
        <v>1096.972</v>
      </c>
    </row>
    <row r="60" spans="1:15" x14ac:dyDescent="0.2">
      <c r="A60">
        <v>16</v>
      </c>
      <c r="B60">
        <v>16</v>
      </c>
      <c r="C60" t="s">
        <v>108</v>
      </c>
      <c r="E60">
        <v>12.15</v>
      </c>
      <c r="G60">
        <v>100</v>
      </c>
      <c r="H60">
        <v>26</v>
      </c>
      <c r="I60" t="s">
        <v>18</v>
      </c>
      <c r="J60" s="1">
        <v>125.9721</v>
      </c>
      <c r="K60">
        <v>2828</v>
      </c>
      <c r="M60">
        <v>2827.6819999999998</v>
      </c>
      <c r="O60">
        <v>418.13499999999999</v>
      </c>
    </row>
    <row r="61" spans="1:15" x14ac:dyDescent="0.2">
      <c r="A61">
        <v>17</v>
      </c>
      <c r="B61">
        <v>17</v>
      </c>
      <c r="C61" t="s">
        <v>109</v>
      </c>
      <c r="E61">
        <v>12.15</v>
      </c>
      <c r="G61">
        <v>100</v>
      </c>
      <c r="H61">
        <v>14.4</v>
      </c>
      <c r="I61" t="s">
        <v>53</v>
      </c>
      <c r="J61" s="1">
        <v>114.3584</v>
      </c>
      <c r="K61">
        <v>2567</v>
      </c>
      <c r="M61">
        <v>2566.991</v>
      </c>
      <c r="O61">
        <v>519.75900000000001</v>
      </c>
    </row>
    <row r="62" spans="1:15" x14ac:dyDescent="0.2">
      <c r="A62">
        <v>18</v>
      </c>
      <c r="B62">
        <v>18</v>
      </c>
      <c r="C62" t="s">
        <v>110</v>
      </c>
      <c r="E62">
        <v>12.15</v>
      </c>
      <c r="G62">
        <v>100</v>
      </c>
      <c r="H62">
        <v>3.3</v>
      </c>
      <c r="I62" t="s">
        <v>53</v>
      </c>
      <c r="J62" s="1">
        <v>103.3314</v>
      </c>
      <c r="K62">
        <v>2319</v>
      </c>
      <c r="M62">
        <v>2319.4699999999998</v>
      </c>
      <c r="O62">
        <v>1040.7280000000001</v>
      </c>
    </row>
    <row r="63" spans="1:15" x14ac:dyDescent="0.2">
      <c r="A63">
        <v>19</v>
      </c>
      <c r="B63">
        <v>19</v>
      </c>
      <c r="C63" t="s">
        <v>111</v>
      </c>
      <c r="E63">
        <v>12.14</v>
      </c>
      <c r="G63">
        <v>100</v>
      </c>
      <c r="H63">
        <v>-0.6</v>
      </c>
      <c r="I63" t="s">
        <v>53</v>
      </c>
      <c r="J63" s="1">
        <v>99.4465</v>
      </c>
      <c r="K63">
        <v>2232</v>
      </c>
      <c r="M63">
        <v>2232.2660000000001</v>
      </c>
      <c r="O63">
        <v>130.47499999999999</v>
      </c>
    </row>
    <row r="64" spans="1:15" x14ac:dyDescent="0.2">
      <c r="A64">
        <v>20</v>
      </c>
      <c r="B64">
        <v>20</v>
      </c>
      <c r="C64" t="s">
        <v>112</v>
      </c>
      <c r="E64">
        <v>12.15</v>
      </c>
      <c r="G64">
        <v>100</v>
      </c>
      <c r="H64">
        <v>-8.6</v>
      </c>
      <c r="I64" t="s">
        <v>53</v>
      </c>
      <c r="J64" s="1">
        <v>91.420699999999997</v>
      </c>
      <c r="K64">
        <v>2052</v>
      </c>
      <c r="M64">
        <v>2052.1120000000001</v>
      </c>
      <c r="O64">
        <v>721.88400000000001</v>
      </c>
    </row>
    <row r="65" spans="1:16" x14ac:dyDescent="0.2">
      <c r="A65">
        <v>21</v>
      </c>
      <c r="B65">
        <v>21</v>
      </c>
      <c r="C65" t="s">
        <v>113</v>
      </c>
      <c r="E65">
        <v>12.15</v>
      </c>
      <c r="G65">
        <v>100</v>
      </c>
      <c r="H65">
        <v>0.4</v>
      </c>
      <c r="I65" t="s">
        <v>53</v>
      </c>
      <c r="J65" s="1">
        <v>100.40300000000001</v>
      </c>
      <c r="K65">
        <v>2254</v>
      </c>
      <c r="M65">
        <v>2253.7359999999999</v>
      </c>
      <c r="O65">
        <v>796.51099999999997</v>
      </c>
    </row>
    <row r="66" spans="1:16" x14ac:dyDescent="0.2">
      <c r="A66">
        <v>22</v>
      </c>
      <c r="B66">
        <v>22</v>
      </c>
      <c r="C66" t="s">
        <v>114</v>
      </c>
    </row>
    <row r="67" spans="1:16" x14ac:dyDescent="0.2">
      <c r="A67">
        <v>23</v>
      </c>
      <c r="B67">
        <v>23</v>
      </c>
      <c r="C67" t="s">
        <v>115</v>
      </c>
    </row>
    <row r="68" spans="1:16" x14ac:dyDescent="0.2">
      <c r="A68">
        <v>24</v>
      </c>
      <c r="B68">
        <v>24</v>
      </c>
      <c r="C68" t="s">
        <v>116</v>
      </c>
    </row>
    <row r="69" spans="1:16" x14ac:dyDescent="0.2">
      <c r="A69">
        <v>25</v>
      </c>
      <c r="B69">
        <v>25</v>
      </c>
      <c r="C69" t="s">
        <v>117</v>
      </c>
      <c r="E69">
        <v>12.14</v>
      </c>
      <c r="I69" t="s">
        <v>18</v>
      </c>
      <c r="J69" s="1">
        <v>1080.4749999999999</v>
      </c>
      <c r="K69">
        <v>24253</v>
      </c>
      <c r="M69">
        <v>24253.311000000002</v>
      </c>
      <c r="O69">
        <v>3220.6779999999999</v>
      </c>
    </row>
    <row r="71" spans="1:16" x14ac:dyDescent="0.2">
      <c r="A71" t="s">
        <v>54</v>
      </c>
    </row>
    <row r="73" spans="1:16" x14ac:dyDescent="0.2">
      <c r="B73" t="s">
        <v>3</v>
      </c>
      <c r="C73" t="s">
        <v>4</v>
      </c>
      <c r="D73" t="s">
        <v>5</v>
      </c>
      <c r="E73" t="s">
        <v>6</v>
      </c>
      <c r="F73" t="s">
        <v>7</v>
      </c>
      <c r="G73" t="s">
        <v>58</v>
      </c>
      <c r="H73" t="s">
        <v>8</v>
      </c>
      <c r="I73" t="s">
        <v>9</v>
      </c>
      <c r="J73" s="1" t="s">
        <v>84</v>
      </c>
      <c r="K73" t="s">
        <v>10</v>
      </c>
      <c r="L73" t="s">
        <v>11</v>
      </c>
      <c r="M73" t="s">
        <v>12</v>
      </c>
      <c r="N73" t="s">
        <v>13</v>
      </c>
      <c r="O73" t="s">
        <v>14</v>
      </c>
      <c r="P73" t="s">
        <v>15</v>
      </c>
    </row>
    <row r="74" spans="1:16" x14ac:dyDescent="0.2">
      <c r="A74">
        <v>1</v>
      </c>
      <c r="B74">
        <v>1</v>
      </c>
      <c r="C74" t="s">
        <v>85</v>
      </c>
      <c r="E74">
        <v>10.18</v>
      </c>
      <c r="F74" t="s">
        <v>17</v>
      </c>
      <c r="G74">
        <v>40</v>
      </c>
      <c r="H74">
        <v>-2.4</v>
      </c>
      <c r="I74" t="s">
        <v>18</v>
      </c>
      <c r="J74" s="1">
        <v>39.023600000000002</v>
      </c>
      <c r="K74">
        <v>33065</v>
      </c>
      <c r="L74">
        <v>1100890</v>
      </c>
      <c r="M74">
        <v>39.045999999999999</v>
      </c>
      <c r="N74">
        <v>12256</v>
      </c>
      <c r="O74">
        <v>2731.297</v>
      </c>
      <c r="P74">
        <v>2.698</v>
      </c>
    </row>
    <row r="75" spans="1:16" x14ac:dyDescent="0.2">
      <c r="A75">
        <v>2</v>
      </c>
      <c r="B75">
        <v>2</v>
      </c>
      <c r="C75" t="s">
        <v>86</v>
      </c>
      <c r="E75">
        <v>10.18</v>
      </c>
      <c r="F75" t="s">
        <v>17</v>
      </c>
      <c r="G75">
        <v>110</v>
      </c>
      <c r="H75">
        <v>1.5</v>
      </c>
      <c r="I75" t="s">
        <v>18</v>
      </c>
      <c r="J75" s="1">
        <v>111.6855</v>
      </c>
      <c r="K75">
        <v>95668</v>
      </c>
      <c r="L75">
        <v>1133144</v>
      </c>
      <c r="M75">
        <v>109.755</v>
      </c>
      <c r="N75">
        <v>33827</v>
      </c>
      <c r="O75">
        <v>11306.790999999999</v>
      </c>
      <c r="P75">
        <v>2.8279999999999998</v>
      </c>
    </row>
    <row r="76" spans="1:16" x14ac:dyDescent="0.2">
      <c r="A76">
        <v>3</v>
      </c>
      <c r="B76">
        <v>3</v>
      </c>
      <c r="C76" t="s">
        <v>87</v>
      </c>
      <c r="E76">
        <v>10.18</v>
      </c>
      <c r="F76" t="s">
        <v>17</v>
      </c>
      <c r="G76">
        <v>200</v>
      </c>
      <c r="H76">
        <v>1</v>
      </c>
      <c r="I76" t="s">
        <v>18</v>
      </c>
      <c r="J76" s="1">
        <v>202.03219999999999</v>
      </c>
      <c r="K76">
        <v>188593</v>
      </c>
      <c r="L76">
        <v>1241992</v>
      </c>
      <c r="M76">
        <v>197.40199999999999</v>
      </c>
      <c r="N76">
        <v>64821</v>
      </c>
      <c r="O76">
        <v>13604.508</v>
      </c>
      <c r="P76">
        <v>2.9089999999999998</v>
      </c>
    </row>
    <row r="77" spans="1:16" x14ac:dyDescent="0.2">
      <c r="A77">
        <v>4</v>
      </c>
      <c r="B77">
        <v>4</v>
      </c>
      <c r="C77" t="s">
        <v>88</v>
      </c>
      <c r="E77">
        <v>10.18</v>
      </c>
      <c r="F77" t="s">
        <v>17</v>
      </c>
      <c r="G77">
        <v>540</v>
      </c>
      <c r="H77">
        <v>-4.0999999999999996</v>
      </c>
      <c r="I77" t="s">
        <v>18</v>
      </c>
      <c r="J77" s="1">
        <v>518.04169999999999</v>
      </c>
      <c r="K77">
        <v>506748</v>
      </c>
      <c r="L77">
        <v>1313382</v>
      </c>
      <c r="M77">
        <v>501.58499999999998</v>
      </c>
      <c r="N77">
        <v>177566</v>
      </c>
      <c r="O77">
        <v>31797.553</v>
      </c>
      <c r="P77">
        <v>2.8540000000000001</v>
      </c>
    </row>
    <row r="78" spans="1:16" x14ac:dyDescent="0.2">
      <c r="A78">
        <v>5</v>
      </c>
      <c r="B78">
        <v>5</v>
      </c>
      <c r="C78" t="s">
        <v>89</v>
      </c>
      <c r="E78">
        <v>10.18</v>
      </c>
      <c r="F78" t="s">
        <v>17</v>
      </c>
      <c r="G78">
        <v>1000</v>
      </c>
      <c r="H78">
        <v>0.7</v>
      </c>
      <c r="I78" t="s">
        <v>18</v>
      </c>
      <c r="J78" s="1">
        <v>1006.7083</v>
      </c>
      <c r="K78">
        <v>975491</v>
      </c>
      <c r="L78">
        <v>1314576</v>
      </c>
      <c r="M78">
        <v>964.67499999999995</v>
      </c>
      <c r="N78">
        <v>335404</v>
      </c>
      <c r="O78">
        <v>65599.519</v>
      </c>
      <c r="P78">
        <v>2.9079999999999999</v>
      </c>
    </row>
    <row r="79" spans="1:16" x14ac:dyDescent="0.2">
      <c r="A79">
        <v>6</v>
      </c>
      <c r="B79">
        <v>6</v>
      </c>
      <c r="C79" t="s">
        <v>90</v>
      </c>
      <c r="E79">
        <v>10.18</v>
      </c>
      <c r="F79" t="s">
        <v>17</v>
      </c>
      <c r="G79">
        <v>2000</v>
      </c>
      <c r="H79">
        <v>1.3</v>
      </c>
      <c r="I79" t="s">
        <v>18</v>
      </c>
      <c r="J79" s="1">
        <v>2025.7825</v>
      </c>
      <c r="K79">
        <v>1892687</v>
      </c>
      <c r="L79">
        <v>1293683</v>
      </c>
      <c r="M79">
        <v>1901.9290000000001</v>
      </c>
      <c r="N79">
        <v>657244</v>
      </c>
      <c r="O79">
        <v>89648.347999999998</v>
      </c>
      <c r="P79">
        <v>2.88</v>
      </c>
    </row>
    <row r="80" spans="1:16" x14ac:dyDescent="0.2">
      <c r="A80">
        <v>7</v>
      </c>
      <c r="B80">
        <v>7</v>
      </c>
      <c r="C80" t="s">
        <v>91</v>
      </c>
      <c r="E80">
        <v>10.15</v>
      </c>
      <c r="F80" t="s">
        <v>17</v>
      </c>
      <c r="G80">
        <v>4000</v>
      </c>
      <c r="H80">
        <v>0.9</v>
      </c>
      <c r="I80" t="s">
        <v>18</v>
      </c>
      <c r="J80" s="1">
        <v>4034.3681000000001</v>
      </c>
      <c r="K80">
        <v>5296017</v>
      </c>
      <c r="L80">
        <v>1893246</v>
      </c>
      <c r="M80">
        <v>3636.518</v>
      </c>
      <c r="N80">
        <v>1875508</v>
      </c>
      <c r="O80">
        <v>828838.40599999996</v>
      </c>
      <c r="P80">
        <v>2.8239999999999998</v>
      </c>
    </row>
    <row r="81" spans="1:21" x14ac:dyDescent="0.2">
      <c r="A81">
        <v>26</v>
      </c>
      <c r="B81">
        <v>26</v>
      </c>
      <c r="C81" t="s">
        <v>92</v>
      </c>
      <c r="E81">
        <v>10.15</v>
      </c>
      <c r="F81" t="s">
        <v>17</v>
      </c>
      <c r="G81">
        <v>110</v>
      </c>
      <c r="H81">
        <v>4.0999999999999996</v>
      </c>
      <c r="I81" t="s">
        <v>18</v>
      </c>
      <c r="J81" s="1">
        <v>114.4766</v>
      </c>
      <c r="K81">
        <v>96814</v>
      </c>
      <c r="L81">
        <v>1119061</v>
      </c>
      <c r="M81">
        <v>112.467</v>
      </c>
      <c r="N81">
        <v>34507</v>
      </c>
      <c r="O81">
        <v>7358.5709999999999</v>
      </c>
      <c r="P81">
        <v>2.806</v>
      </c>
    </row>
    <row r="82" spans="1:21" x14ac:dyDescent="0.2">
      <c r="A82">
        <v>27</v>
      </c>
      <c r="B82">
        <v>27</v>
      </c>
      <c r="C82" t="s">
        <v>93</v>
      </c>
      <c r="E82">
        <v>10.15</v>
      </c>
      <c r="F82" t="s">
        <v>17</v>
      </c>
      <c r="G82">
        <v>540</v>
      </c>
      <c r="H82">
        <v>-2.8</v>
      </c>
      <c r="I82" t="s">
        <v>18</v>
      </c>
      <c r="J82" s="1">
        <v>524.80349999999999</v>
      </c>
      <c r="K82">
        <v>448211</v>
      </c>
      <c r="L82">
        <v>1146878</v>
      </c>
      <c r="M82">
        <v>508.053</v>
      </c>
      <c r="N82">
        <v>155718</v>
      </c>
      <c r="O82">
        <v>62411.533000000003</v>
      </c>
      <c r="P82">
        <v>2.8780000000000001</v>
      </c>
    </row>
    <row r="83" spans="1:21" x14ac:dyDescent="0.2">
      <c r="A83">
        <v>28</v>
      </c>
      <c r="B83">
        <v>28</v>
      </c>
      <c r="C83" t="s">
        <v>94</v>
      </c>
      <c r="E83">
        <v>10.15</v>
      </c>
      <c r="F83" t="s">
        <v>17</v>
      </c>
      <c r="G83">
        <v>1000</v>
      </c>
      <c r="H83">
        <v>1.1000000000000001</v>
      </c>
      <c r="I83" t="s">
        <v>18</v>
      </c>
      <c r="J83" s="1">
        <v>1010.8526000000001</v>
      </c>
      <c r="K83">
        <v>788311</v>
      </c>
      <c r="L83">
        <v>1058066</v>
      </c>
      <c r="M83">
        <v>968.56500000000005</v>
      </c>
      <c r="N83">
        <v>275383</v>
      </c>
      <c r="O83">
        <v>67214.148000000001</v>
      </c>
      <c r="P83">
        <v>2.863</v>
      </c>
    </row>
    <row r="84" spans="1:21" x14ac:dyDescent="0.2">
      <c r="A84">
        <v>29</v>
      </c>
      <c r="B84">
        <v>29</v>
      </c>
      <c r="C84" t="s">
        <v>95</v>
      </c>
      <c r="E84">
        <v>10.15</v>
      </c>
      <c r="F84" t="s">
        <v>17</v>
      </c>
      <c r="G84">
        <v>4000</v>
      </c>
      <c r="H84">
        <v>-1.2</v>
      </c>
      <c r="I84" t="s">
        <v>18</v>
      </c>
      <c r="J84" s="1">
        <v>3952.1806000000001</v>
      </c>
      <c r="K84">
        <v>2861226</v>
      </c>
      <c r="L84">
        <v>1042348</v>
      </c>
      <c r="M84">
        <v>3568.4769999999999</v>
      </c>
      <c r="N84">
        <v>1007900</v>
      </c>
      <c r="O84">
        <v>168883.223</v>
      </c>
      <c r="P84">
        <v>2.839</v>
      </c>
    </row>
    <row r="85" spans="1:21" x14ac:dyDescent="0.2">
      <c r="A85">
        <v>8</v>
      </c>
      <c r="B85">
        <v>8</v>
      </c>
      <c r="C85" t="s">
        <v>96</v>
      </c>
      <c r="E85">
        <v>10.15</v>
      </c>
      <c r="I85" t="s">
        <v>18</v>
      </c>
      <c r="K85">
        <v>2799</v>
      </c>
      <c r="L85">
        <v>935</v>
      </c>
      <c r="N85">
        <v>932</v>
      </c>
      <c r="O85">
        <v>128.261</v>
      </c>
      <c r="P85">
        <v>3.0030000000000001</v>
      </c>
    </row>
    <row r="86" spans="1:21" x14ac:dyDescent="0.2">
      <c r="A86">
        <v>9</v>
      </c>
      <c r="B86">
        <v>9</v>
      </c>
      <c r="C86" t="s">
        <v>97</v>
      </c>
      <c r="E86">
        <v>10.15</v>
      </c>
      <c r="I86" t="s">
        <v>18</v>
      </c>
      <c r="K86">
        <v>1041</v>
      </c>
      <c r="L86">
        <v>422</v>
      </c>
      <c r="N86">
        <v>357</v>
      </c>
      <c r="O86">
        <v>141.929</v>
      </c>
      <c r="P86">
        <v>2.9119999999999999</v>
      </c>
    </row>
    <row r="87" spans="1:21" x14ac:dyDescent="0.2">
      <c r="A87">
        <v>10</v>
      </c>
      <c r="B87">
        <v>10</v>
      </c>
      <c r="C87" t="s">
        <v>98</v>
      </c>
      <c r="E87">
        <v>10.15</v>
      </c>
      <c r="I87" t="s">
        <v>53</v>
      </c>
      <c r="K87">
        <v>706</v>
      </c>
      <c r="L87">
        <v>300</v>
      </c>
      <c r="N87">
        <v>273</v>
      </c>
      <c r="O87">
        <v>58.725999999999999</v>
      </c>
      <c r="P87">
        <v>2.5830000000000002</v>
      </c>
    </row>
    <row r="88" spans="1:21" x14ac:dyDescent="0.2">
      <c r="A88">
        <v>11</v>
      </c>
      <c r="B88">
        <v>11</v>
      </c>
      <c r="C88" t="s">
        <v>99</v>
      </c>
      <c r="E88">
        <v>10.14</v>
      </c>
      <c r="I88" t="s">
        <v>103</v>
      </c>
      <c r="K88">
        <v>1145</v>
      </c>
      <c r="L88">
        <v>1728761</v>
      </c>
      <c r="M88">
        <v>0.86099999999999999</v>
      </c>
      <c r="N88">
        <v>1745</v>
      </c>
      <c r="O88">
        <v>69.599000000000004</v>
      </c>
      <c r="P88">
        <v>0.65600000000000003</v>
      </c>
      <c r="R88" s="5" t="s">
        <v>61</v>
      </c>
      <c r="S88" t="s">
        <v>100</v>
      </c>
      <c r="T88" s="5" t="s">
        <v>67</v>
      </c>
      <c r="U88" s="5" t="s">
        <v>80</v>
      </c>
    </row>
    <row r="89" spans="1:21" x14ac:dyDescent="0.2">
      <c r="A89">
        <v>12</v>
      </c>
      <c r="B89">
        <v>12</v>
      </c>
      <c r="C89" t="s">
        <v>102</v>
      </c>
      <c r="E89">
        <v>10.15</v>
      </c>
      <c r="I89" t="s">
        <v>18</v>
      </c>
      <c r="J89" s="1">
        <v>832.93849999999998</v>
      </c>
      <c r="K89">
        <v>1115543</v>
      </c>
      <c r="L89">
        <v>1392662</v>
      </c>
      <c r="M89">
        <v>801.01499999999999</v>
      </c>
      <c r="N89">
        <v>380047</v>
      </c>
      <c r="O89">
        <v>85229.481</v>
      </c>
      <c r="P89">
        <v>2.9350000000000001</v>
      </c>
      <c r="R89" s="5">
        <v>4.8418999999999999</v>
      </c>
      <c r="S89" s="11">
        <f>(J89*200*20/1000)*9/8</f>
        <v>3748.2232499999996</v>
      </c>
      <c r="T89" s="12">
        <f>(S89/R89)/1000</f>
        <v>0.77412240029740387</v>
      </c>
      <c r="U89" s="5">
        <f>100+H122</f>
        <v>145.80000000000001</v>
      </c>
    </row>
    <row r="90" spans="1:21" x14ac:dyDescent="0.2">
      <c r="A90">
        <v>13</v>
      </c>
      <c r="B90">
        <v>13</v>
      </c>
      <c r="C90" t="s">
        <v>104</v>
      </c>
      <c r="E90">
        <v>10.15</v>
      </c>
      <c r="I90" t="s">
        <v>18</v>
      </c>
      <c r="J90" s="1">
        <v>1107.931</v>
      </c>
      <c r="K90">
        <v>1411787</v>
      </c>
      <c r="L90">
        <v>1332512</v>
      </c>
      <c r="M90">
        <v>1059.4929999999999</v>
      </c>
      <c r="N90">
        <v>487644</v>
      </c>
      <c r="O90">
        <v>91790.717999999993</v>
      </c>
      <c r="P90">
        <v>2.895</v>
      </c>
      <c r="R90" s="5">
        <v>4.8068999999999997</v>
      </c>
      <c r="S90" s="11">
        <f t="shared" ref="S90:S98" si="3">(J90*200*20/1000)*9/8</f>
        <v>4985.6895000000004</v>
      </c>
      <c r="T90" s="12">
        <f t="shared" ref="T90:T98" si="4">(S90/R90)/1000</f>
        <v>1.0371943456281596</v>
      </c>
      <c r="U90" s="5">
        <f t="shared" ref="U90:U98" si="5">100+H123</f>
        <v>139.5</v>
      </c>
    </row>
    <row r="91" spans="1:21" x14ac:dyDescent="0.2">
      <c r="A91">
        <v>14</v>
      </c>
      <c r="B91">
        <v>14</v>
      </c>
      <c r="C91" t="s">
        <v>105</v>
      </c>
      <c r="E91">
        <v>10.15</v>
      </c>
      <c r="I91" t="s">
        <v>18</v>
      </c>
      <c r="J91" s="1">
        <v>831.66079999999999</v>
      </c>
      <c r="K91">
        <v>1069516</v>
      </c>
      <c r="L91">
        <v>1337218</v>
      </c>
      <c r="M91">
        <v>799.80700000000002</v>
      </c>
      <c r="N91">
        <v>370548</v>
      </c>
      <c r="O91">
        <v>78997.850999999995</v>
      </c>
      <c r="P91">
        <v>2.8860000000000001</v>
      </c>
      <c r="R91" s="5">
        <v>5.0617000000000001</v>
      </c>
      <c r="S91" s="11">
        <f t="shared" si="3"/>
        <v>3742.4735999999998</v>
      </c>
      <c r="T91" s="12">
        <f t="shared" si="4"/>
        <v>0.73937088330007705</v>
      </c>
      <c r="U91" s="5">
        <f t="shared" si="5"/>
        <v>140</v>
      </c>
    </row>
    <row r="92" spans="1:21" x14ac:dyDescent="0.2">
      <c r="A92">
        <v>15</v>
      </c>
      <c r="B92">
        <v>15</v>
      </c>
      <c r="C92" t="s">
        <v>107</v>
      </c>
      <c r="E92">
        <v>10.16</v>
      </c>
      <c r="I92" t="s">
        <v>18</v>
      </c>
      <c r="J92" s="1">
        <v>851.49509999999998</v>
      </c>
      <c r="K92">
        <v>1046813</v>
      </c>
      <c r="L92">
        <v>1278870</v>
      </c>
      <c r="M92">
        <v>818.54499999999996</v>
      </c>
      <c r="N92">
        <v>362464</v>
      </c>
      <c r="O92">
        <v>43908.44</v>
      </c>
      <c r="P92">
        <v>2.8879999999999999</v>
      </c>
      <c r="R92" s="5">
        <v>4.8475999999999999</v>
      </c>
      <c r="S92" s="11">
        <f t="shared" si="3"/>
        <v>3831.72795</v>
      </c>
      <c r="T92" s="12">
        <f t="shared" si="4"/>
        <v>0.79043814464889839</v>
      </c>
      <c r="U92" s="5">
        <f t="shared" si="5"/>
        <v>133.9</v>
      </c>
    </row>
    <row r="93" spans="1:21" x14ac:dyDescent="0.2">
      <c r="A93">
        <v>16</v>
      </c>
      <c r="B93">
        <v>16</v>
      </c>
      <c r="C93" t="s">
        <v>108</v>
      </c>
      <c r="E93">
        <v>10.15</v>
      </c>
      <c r="I93" t="s">
        <v>18</v>
      </c>
      <c r="J93" s="1">
        <v>1060.8933</v>
      </c>
      <c r="K93">
        <v>1237817</v>
      </c>
      <c r="L93">
        <v>1218949</v>
      </c>
      <c r="M93">
        <v>1015.479</v>
      </c>
      <c r="N93">
        <v>425435</v>
      </c>
      <c r="O93">
        <v>81405.736000000004</v>
      </c>
      <c r="P93">
        <v>2.9089999999999998</v>
      </c>
      <c r="R93" s="5">
        <v>5.1044</v>
      </c>
      <c r="S93" s="11">
        <f t="shared" si="3"/>
        <v>4774.0198499999997</v>
      </c>
      <c r="T93" s="12">
        <f t="shared" si="4"/>
        <v>0.93527541924614044</v>
      </c>
      <c r="U93" s="5">
        <f t="shared" si="5"/>
        <v>127.6</v>
      </c>
    </row>
    <row r="94" spans="1:21" x14ac:dyDescent="0.2">
      <c r="A94">
        <v>17</v>
      </c>
      <c r="B94">
        <v>17</v>
      </c>
      <c r="C94" t="s">
        <v>109</v>
      </c>
      <c r="E94">
        <v>10.15</v>
      </c>
      <c r="I94" t="s">
        <v>18</v>
      </c>
      <c r="J94" s="1">
        <v>0.78620000000000001</v>
      </c>
      <c r="K94">
        <v>2027</v>
      </c>
      <c r="L94">
        <v>1153735</v>
      </c>
      <c r="M94">
        <v>1.7569999999999999</v>
      </c>
      <c r="N94">
        <v>1604</v>
      </c>
      <c r="O94">
        <v>62.892000000000003</v>
      </c>
      <c r="P94">
        <v>1.264</v>
      </c>
      <c r="R94" s="5">
        <v>4.9059999999999997</v>
      </c>
      <c r="S94" s="11">
        <f t="shared" si="3"/>
        <v>3.5379</v>
      </c>
      <c r="T94" s="12">
        <f t="shared" si="4"/>
        <v>7.2113738279657564E-4</v>
      </c>
      <c r="U94" s="5">
        <f t="shared" si="5"/>
        <v>120.8</v>
      </c>
    </row>
    <row r="95" spans="1:21" x14ac:dyDescent="0.2">
      <c r="A95">
        <v>18</v>
      </c>
      <c r="B95">
        <v>18</v>
      </c>
      <c r="C95" t="s">
        <v>110</v>
      </c>
      <c r="E95">
        <v>10.15</v>
      </c>
      <c r="I95" t="s">
        <v>103</v>
      </c>
      <c r="K95">
        <v>1005</v>
      </c>
      <c r="L95">
        <v>1096477</v>
      </c>
      <c r="M95">
        <v>0.91600000000000004</v>
      </c>
      <c r="N95">
        <v>1206</v>
      </c>
      <c r="O95">
        <v>78.09</v>
      </c>
      <c r="P95">
        <v>0.83299999999999996</v>
      </c>
      <c r="R95" s="5">
        <v>4.9728000000000003</v>
      </c>
      <c r="S95" s="11">
        <f t="shared" si="3"/>
        <v>0</v>
      </c>
      <c r="T95" s="12">
        <f t="shared" si="4"/>
        <v>0</v>
      </c>
      <c r="U95" s="5">
        <f t="shared" si="5"/>
        <v>114.8</v>
      </c>
    </row>
    <row r="96" spans="1:21" x14ac:dyDescent="0.2">
      <c r="A96">
        <v>19</v>
      </c>
      <c r="B96">
        <v>19</v>
      </c>
      <c r="C96" t="s">
        <v>111</v>
      </c>
      <c r="E96">
        <v>10.15</v>
      </c>
      <c r="I96" t="s">
        <v>106</v>
      </c>
      <c r="K96">
        <v>913</v>
      </c>
      <c r="L96">
        <v>1045365</v>
      </c>
      <c r="M96">
        <v>0.873</v>
      </c>
      <c r="N96">
        <v>1233</v>
      </c>
      <c r="O96">
        <v>137.97399999999999</v>
      </c>
      <c r="P96">
        <v>0.74099999999999999</v>
      </c>
      <c r="R96" s="5">
        <v>4.9157999999999999</v>
      </c>
      <c r="S96" s="11">
        <f t="shared" si="3"/>
        <v>0</v>
      </c>
      <c r="T96" s="12">
        <f t="shared" si="4"/>
        <v>0</v>
      </c>
      <c r="U96" s="5">
        <f t="shared" si="5"/>
        <v>109.5</v>
      </c>
    </row>
    <row r="97" spans="1:21" x14ac:dyDescent="0.2">
      <c r="A97">
        <v>20</v>
      </c>
      <c r="B97">
        <v>20</v>
      </c>
      <c r="C97" t="s">
        <v>112</v>
      </c>
      <c r="E97">
        <v>10.15</v>
      </c>
      <c r="I97" t="s">
        <v>106</v>
      </c>
      <c r="K97">
        <v>847</v>
      </c>
      <c r="L97">
        <v>1012875</v>
      </c>
      <c r="M97">
        <v>0.83599999999999997</v>
      </c>
      <c r="N97">
        <v>1223</v>
      </c>
      <c r="O97">
        <v>90.811999999999998</v>
      </c>
      <c r="P97">
        <v>0.69199999999999995</v>
      </c>
      <c r="R97" s="5">
        <v>5.1893000000000002</v>
      </c>
      <c r="S97" s="11">
        <f t="shared" si="3"/>
        <v>0</v>
      </c>
      <c r="T97" s="12">
        <f t="shared" si="4"/>
        <v>0</v>
      </c>
      <c r="U97" s="5">
        <f t="shared" si="5"/>
        <v>106.1</v>
      </c>
    </row>
    <row r="98" spans="1:21" x14ac:dyDescent="0.2">
      <c r="A98">
        <v>21</v>
      </c>
      <c r="B98">
        <v>21</v>
      </c>
      <c r="C98" t="s">
        <v>113</v>
      </c>
      <c r="E98">
        <v>10.15</v>
      </c>
      <c r="I98" t="s">
        <v>106</v>
      </c>
      <c r="K98">
        <v>767</v>
      </c>
      <c r="L98">
        <v>1043214</v>
      </c>
      <c r="M98">
        <v>0.73499999999999999</v>
      </c>
      <c r="N98">
        <v>1119</v>
      </c>
      <c r="O98">
        <v>103.02800000000001</v>
      </c>
      <c r="P98">
        <v>0.68500000000000005</v>
      </c>
      <c r="R98" s="5">
        <v>4.9038000000000004</v>
      </c>
      <c r="S98" s="11">
        <f t="shared" si="3"/>
        <v>0</v>
      </c>
      <c r="T98" s="12">
        <f t="shared" si="4"/>
        <v>0</v>
      </c>
      <c r="U98" s="5">
        <f t="shared" si="5"/>
        <v>109.2</v>
      </c>
    </row>
    <row r="99" spans="1:21" x14ac:dyDescent="0.2">
      <c r="A99">
        <v>22</v>
      </c>
      <c r="B99">
        <v>22</v>
      </c>
      <c r="C99" t="s">
        <v>114</v>
      </c>
      <c r="E99">
        <v>10.16</v>
      </c>
      <c r="I99" t="s">
        <v>53</v>
      </c>
      <c r="K99">
        <v>499</v>
      </c>
      <c r="L99">
        <v>671</v>
      </c>
      <c r="N99">
        <v>182</v>
      </c>
      <c r="O99">
        <v>20.358000000000001</v>
      </c>
      <c r="P99">
        <v>2.7429999999999999</v>
      </c>
    </row>
    <row r="100" spans="1:21" x14ac:dyDescent="0.2">
      <c r="A100">
        <v>23</v>
      </c>
      <c r="B100">
        <v>23</v>
      </c>
      <c r="C100" t="s">
        <v>115</v>
      </c>
      <c r="E100">
        <v>10.15</v>
      </c>
      <c r="I100" t="s">
        <v>53</v>
      </c>
      <c r="K100">
        <v>267</v>
      </c>
      <c r="L100">
        <v>372</v>
      </c>
      <c r="N100">
        <v>110</v>
      </c>
      <c r="O100">
        <v>26.960999999999999</v>
      </c>
      <c r="P100">
        <v>2.4430000000000001</v>
      </c>
    </row>
    <row r="101" spans="1:21" x14ac:dyDescent="0.2">
      <c r="A101">
        <v>24</v>
      </c>
      <c r="B101">
        <v>24</v>
      </c>
      <c r="C101" t="s">
        <v>116</v>
      </c>
      <c r="E101">
        <v>10.15</v>
      </c>
      <c r="I101" t="s">
        <v>53</v>
      </c>
      <c r="K101">
        <v>257</v>
      </c>
      <c r="L101">
        <v>202</v>
      </c>
      <c r="N101">
        <v>109</v>
      </c>
      <c r="O101">
        <v>27.870999999999999</v>
      </c>
      <c r="P101">
        <v>2.3530000000000002</v>
      </c>
    </row>
    <row r="102" spans="1:21" x14ac:dyDescent="0.2">
      <c r="A102">
        <v>25</v>
      </c>
      <c r="B102">
        <v>25</v>
      </c>
      <c r="C102" t="s">
        <v>117</v>
      </c>
      <c r="E102">
        <v>10.14</v>
      </c>
      <c r="I102" t="s">
        <v>53</v>
      </c>
      <c r="K102">
        <v>645</v>
      </c>
      <c r="L102">
        <v>1185336</v>
      </c>
      <c r="N102">
        <v>1140</v>
      </c>
      <c r="O102">
        <v>35.784999999999997</v>
      </c>
      <c r="P102">
        <v>0.56599999999999995</v>
      </c>
    </row>
    <row r="104" spans="1:21" x14ac:dyDescent="0.2">
      <c r="A104" t="s">
        <v>55</v>
      </c>
    </row>
    <row r="106" spans="1:21" x14ac:dyDescent="0.2">
      <c r="B106" t="s">
        <v>3</v>
      </c>
      <c r="C106" t="s">
        <v>4</v>
      </c>
      <c r="D106" t="s">
        <v>5</v>
      </c>
      <c r="E106" t="s">
        <v>6</v>
      </c>
      <c r="F106" t="s">
        <v>7</v>
      </c>
      <c r="G106" t="s">
        <v>58</v>
      </c>
      <c r="H106" t="s">
        <v>8</v>
      </c>
      <c r="I106" t="s">
        <v>9</v>
      </c>
      <c r="J106" s="1" t="s">
        <v>84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</row>
    <row r="107" spans="1:21" x14ac:dyDescent="0.2">
      <c r="A107">
        <v>1</v>
      </c>
      <c r="B107">
        <v>1</v>
      </c>
      <c r="C107" t="s">
        <v>85</v>
      </c>
      <c r="E107">
        <v>10.16</v>
      </c>
      <c r="F107" t="s">
        <v>17</v>
      </c>
      <c r="G107">
        <v>1300</v>
      </c>
      <c r="H107">
        <v>-11.3</v>
      </c>
      <c r="I107" t="s">
        <v>18</v>
      </c>
      <c r="J107" s="1">
        <v>1152.6994</v>
      </c>
      <c r="K107">
        <v>1100890</v>
      </c>
      <c r="M107">
        <v>1100889.5</v>
      </c>
      <c r="O107">
        <v>65387.328999999998</v>
      </c>
    </row>
    <row r="108" spans="1:21" x14ac:dyDescent="0.2">
      <c r="A108">
        <v>2</v>
      </c>
      <c r="B108">
        <v>2</v>
      </c>
      <c r="C108" t="s">
        <v>86</v>
      </c>
      <c r="E108">
        <v>10.16</v>
      </c>
      <c r="F108" t="s">
        <v>17</v>
      </c>
      <c r="G108">
        <v>1300</v>
      </c>
      <c r="H108">
        <v>-8.6999999999999993</v>
      </c>
      <c r="I108" t="s">
        <v>18</v>
      </c>
      <c r="J108" s="1">
        <v>1186.4719</v>
      </c>
      <c r="K108">
        <v>1133144</v>
      </c>
      <c r="M108">
        <v>1133144</v>
      </c>
      <c r="O108">
        <v>30274.203000000001</v>
      </c>
    </row>
    <row r="109" spans="1:21" x14ac:dyDescent="0.2">
      <c r="A109">
        <v>3</v>
      </c>
      <c r="B109">
        <v>3</v>
      </c>
      <c r="C109" t="s">
        <v>87</v>
      </c>
      <c r="E109">
        <v>10.16</v>
      </c>
      <c r="F109" t="s">
        <v>17</v>
      </c>
      <c r="G109">
        <v>1300</v>
      </c>
      <c r="H109">
        <v>0</v>
      </c>
      <c r="I109" t="s">
        <v>18</v>
      </c>
      <c r="J109" s="1">
        <v>1300.4425000000001</v>
      </c>
      <c r="K109">
        <v>1241992</v>
      </c>
      <c r="M109">
        <v>1241992</v>
      </c>
      <c r="O109">
        <v>85866.103000000003</v>
      </c>
    </row>
    <row r="110" spans="1:21" x14ac:dyDescent="0.2">
      <c r="A110">
        <v>4</v>
      </c>
      <c r="B110">
        <v>4</v>
      </c>
      <c r="C110" t="s">
        <v>88</v>
      </c>
      <c r="E110">
        <v>10.16</v>
      </c>
      <c r="F110" t="s">
        <v>17</v>
      </c>
      <c r="G110">
        <v>1300</v>
      </c>
      <c r="H110">
        <v>5.8</v>
      </c>
      <c r="I110" t="s">
        <v>18</v>
      </c>
      <c r="J110" s="1">
        <v>1375.1918000000001</v>
      </c>
      <c r="K110">
        <v>1313382</v>
      </c>
      <c r="M110">
        <v>1313381.625</v>
      </c>
      <c r="O110">
        <v>205607.62400000001</v>
      </c>
    </row>
    <row r="111" spans="1:21" x14ac:dyDescent="0.2">
      <c r="A111">
        <v>5</v>
      </c>
      <c r="B111">
        <v>5</v>
      </c>
      <c r="C111" t="s">
        <v>89</v>
      </c>
      <c r="E111">
        <v>10.15</v>
      </c>
      <c r="F111" t="s">
        <v>17</v>
      </c>
      <c r="G111">
        <v>1300</v>
      </c>
      <c r="H111">
        <v>5.9</v>
      </c>
      <c r="I111" t="s">
        <v>18</v>
      </c>
      <c r="J111" s="1">
        <v>1376.4422999999999</v>
      </c>
      <c r="K111">
        <v>1314576</v>
      </c>
      <c r="M111">
        <v>1314575.875</v>
      </c>
      <c r="O111">
        <v>204445.30100000001</v>
      </c>
    </row>
    <row r="112" spans="1:21" x14ac:dyDescent="0.2">
      <c r="A112">
        <v>6</v>
      </c>
      <c r="B112">
        <v>6</v>
      </c>
      <c r="C112" t="s">
        <v>90</v>
      </c>
      <c r="E112">
        <v>10.15</v>
      </c>
      <c r="F112" t="s">
        <v>17</v>
      </c>
      <c r="G112">
        <v>1300</v>
      </c>
      <c r="H112">
        <v>4.2</v>
      </c>
      <c r="I112" t="s">
        <v>18</v>
      </c>
      <c r="J112" s="1">
        <v>1354.5655999999999</v>
      </c>
      <c r="K112">
        <v>1293683</v>
      </c>
      <c r="M112">
        <v>1293682.5</v>
      </c>
      <c r="O112">
        <v>251793.90900000001</v>
      </c>
    </row>
    <row r="113" spans="1:15" x14ac:dyDescent="0.2">
      <c r="A113">
        <v>7</v>
      </c>
      <c r="B113">
        <v>7</v>
      </c>
      <c r="C113" t="s">
        <v>91</v>
      </c>
      <c r="E113">
        <v>10.130000000000001</v>
      </c>
      <c r="F113" t="s">
        <v>17</v>
      </c>
      <c r="G113">
        <v>1300</v>
      </c>
      <c r="H113">
        <v>52.5</v>
      </c>
      <c r="I113" t="s">
        <v>18</v>
      </c>
      <c r="J113" s="1">
        <v>1982.3454999999999</v>
      </c>
      <c r="K113">
        <v>1893246</v>
      </c>
      <c r="M113">
        <v>1893245.75</v>
      </c>
      <c r="O113">
        <v>160098.79800000001</v>
      </c>
    </row>
    <row r="114" spans="1:15" x14ac:dyDescent="0.2">
      <c r="A114">
        <v>26</v>
      </c>
      <c r="B114">
        <v>26</v>
      </c>
      <c r="C114" t="s">
        <v>92</v>
      </c>
      <c r="E114">
        <v>10.130000000000001</v>
      </c>
      <c r="F114" t="s">
        <v>17</v>
      </c>
      <c r="G114">
        <v>1300</v>
      </c>
      <c r="H114">
        <v>-9.9</v>
      </c>
      <c r="I114" t="s">
        <v>18</v>
      </c>
      <c r="J114" s="1">
        <v>1171.7264</v>
      </c>
      <c r="K114">
        <v>1119061</v>
      </c>
      <c r="M114">
        <v>1119061.25</v>
      </c>
      <c r="O114">
        <v>102736.183</v>
      </c>
    </row>
    <row r="115" spans="1:15" x14ac:dyDescent="0.2">
      <c r="A115">
        <v>27</v>
      </c>
      <c r="B115">
        <v>27</v>
      </c>
      <c r="C115" t="s">
        <v>93</v>
      </c>
      <c r="E115">
        <v>10.130000000000001</v>
      </c>
      <c r="F115" t="s">
        <v>17</v>
      </c>
      <c r="G115">
        <v>1300</v>
      </c>
      <c r="H115">
        <v>-7.6</v>
      </c>
      <c r="I115" t="s">
        <v>18</v>
      </c>
      <c r="J115" s="1">
        <v>1200.8517999999999</v>
      </c>
      <c r="K115">
        <v>1146878</v>
      </c>
      <c r="M115">
        <v>1146877.625</v>
      </c>
      <c r="O115">
        <v>87125.985000000001</v>
      </c>
    </row>
    <row r="116" spans="1:15" x14ac:dyDescent="0.2">
      <c r="A116">
        <v>28</v>
      </c>
      <c r="B116">
        <v>28</v>
      </c>
      <c r="C116" t="s">
        <v>94</v>
      </c>
      <c r="E116">
        <v>10.130000000000001</v>
      </c>
      <c r="F116" t="s">
        <v>17</v>
      </c>
      <c r="G116">
        <v>1300</v>
      </c>
      <c r="H116">
        <v>-14.8</v>
      </c>
      <c r="I116" t="s">
        <v>18</v>
      </c>
      <c r="J116" s="1">
        <v>1107.8602000000001</v>
      </c>
      <c r="K116">
        <v>1058066</v>
      </c>
      <c r="M116">
        <v>1058065.625</v>
      </c>
      <c r="O116">
        <v>149851.66500000001</v>
      </c>
    </row>
    <row r="117" spans="1:15" x14ac:dyDescent="0.2">
      <c r="A117">
        <v>29</v>
      </c>
      <c r="B117">
        <v>29</v>
      </c>
      <c r="C117" t="s">
        <v>95</v>
      </c>
      <c r="E117">
        <v>10.130000000000001</v>
      </c>
      <c r="F117" t="s">
        <v>17</v>
      </c>
      <c r="G117">
        <v>1300</v>
      </c>
      <c r="H117">
        <v>-16</v>
      </c>
      <c r="I117" t="s">
        <v>18</v>
      </c>
      <c r="J117" s="1">
        <v>1091.4024999999999</v>
      </c>
      <c r="K117">
        <v>1042348</v>
      </c>
      <c r="M117">
        <v>1042347.688</v>
      </c>
      <c r="O117">
        <v>56538.428</v>
      </c>
    </row>
    <row r="118" spans="1:15" x14ac:dyDescent="0.2">
      <c r="A118">
        <v>8</v>
      </c>
      <c r="B118">
        <v>8</v>
      </c>
      <c r="C118" t="s">
        <v>96</v>
      </c>
      <c r="E118">
        <v>10.130000000000001</v>
      </c>
      <c r="I118" t="s">
        <v>53</v>
      </c>
      <c r="J118" s="1">
        <v>0.9788</v>
      </c>
      <c r="K118">
        <v>935</v>
      </c>
      <c r="M118">
        <v>934.79</v>
      </c>
      <c r="O118">
        <v>30.655000000000001</v>
      </c>
    </row>
    <row r="119" spans="1:15" x14ac:dyDescent="0.2">
      <c r="A119">
        <v>9</v>
      </c>
      <c r="B119">
        <v>9</v>
      </c>
      <c r="C119" t="s">
        <v>97</v>
      </c>
      <c r="E119">
        <v>10.130000000000001</v>
      </c>
      <c r="I119" t="s">
        <v>53</v>
      </c>
      <c r="J119" s="1">
        <v>0.442</v>
      </c>
      <c r="K119">
        <v>422</v>
      </c>
      <c r="M119">
        <v>422.11200000000002</v>
      </c>
      <c r="O119">
        <v>23.058</v>
      </c>
    </row>
    <row r="120" spans="1:15" x14ac:dyDescent="0.2">
      <c r="A120">
        <v>10</v>
      </c>
      <c r="B120">
        <v>10</v>
      </c>
      <c r="C120" t="s">
        <v>98</v>
      </c>
      <c r="E120">
        <v>10.130000000000001</v>
      </c>
      <c r="I120" t="s">
        <v>53</v>
      </c>
      <c r="J120" s="1">
        <v>0.314</v>
      </c>
      <c r="K120">
        <v>300</v>
      </c>
      <c r="M120">
        <v>299.89</v>
      </c>
      <c r="O120">
        <v>43.725999999999999</v>
      </c>
    </row>
    <row r="121" spans="1:15" x14ac:dyDescent="0.2">
      <c r="A121">
        <v>11</v>
      </c>
      <c r="B121">
        <v>11</v>
      </c>
      <c r="C121" t="s">
        <v>99</v>
      </c>
      <c r="E121">
        <v>10.130000000000001</v>
      </c>
      <c r="G121">
        <v>1300</v>
      </c>
      <c r="H121">
        <v>39.200000000000003</v>
      </c>
      <c r="I121" t="s">
        <v>18</v>
      </c>
      <c r="J121" s="1">
        <v>1810.1201000000001</v>
      </c>
      <c r="K121">
        <v>1728761</v>
      </c>
      <c r="M121">
        <v>1728761.375</v>
      </c>
      <c r="O121">
        <v>137021.38399999999</v>
      </c>
    </row>
    <row r="122" spans="1:15" x14ac:dyDescent="0.2">
      <c r="A122">
        <v>12</v>
      </c>
      <c r="B122">
        <v>12</v>
      </c>
      <c r="C122" t="s">
        <v>102</v>
      </c>
      <c r="E122">
        <v>10.130000000000001</v>
      </c>
      <c r="G122">
        <v>1000</v>
      </c>
      <c r="H122">
        <v>45.8</v>
      </c>
      <c r="I122" t="s">
        <v>18</v>
      </c>
      <c r="J122" s="1">
        <v>1458.2036000000001</v>
      </c>
      <c r="K122">
        <v>1392662</v>
      </c>
      <c r="M122">
        <v>1392662.25</v>
      </c>
      <c r="O122">
        <v>40525.021999999997</v>
      </c>
    </row>
    <row r="123" spans="1:15" x14ac:dyDescent="0.2">
      <c r="A123">
        <v>13</v>
      </c>
      <c r="B123">
        <v>13</v>
      </c>
      <c r="C123" t="s">
        <v>104</v>
      </c>
      <c r="E123">
        <v>10.130000000000001</v>
      </c>
      <c r="G123">
        <v>1000</v>
      </c>
      <c r="H123">
        <v>39.5</v>
      </c>
      <c r="I123" t="s">
        <v>18</v>
      </c>
      <c r="J123" s="1">
        <v>1395.2221</v>
      </c>
      <c r="K123">
        <v>1332512</v>
      </c>
      <c r="M123">
        <v>1332511.625</v>
      </c>
      <c r="O123">
        <v>160426.783</v>
      </c>
    </row>
    <row r="124" spans="1:15" x14ac:dyDescent="0.2">
      <c r="A124">
        <v>14</v>
      </c>
      <c r="B124">
        <v>14</v>
      </c>
      <c r="C124" t="s">
        <v>105</v>
      </c>
      <c r="E124">
        <v>10.130000000000001</v>
      </c>
      <c r="G124">
        <v>1000</v>
      </c>
      <c r="H124">
        <v>40</v>
      </c>
      <c r="I124" t="s">
        <v>18</v>
      </c>
      <c r="J124" s="1">
        <v>1400.1495</v>
      </c>
      <c r="K124">
        <v>1337218</v>
      </c>
      <c r="M124">
        <v>1337217.5</v>
      </c>
      <c r="O124">
        <v>26607.472000000002</v>
      </c>
    </row>
    <row r="125" spans="1:15" x14ac:dyDescent="0.2">
      <c r="A125">
        <v>15</v>
      </c>
      <c r="B125">
        <v>15</v>
      </c>
      <c r="C125" t="s">
        <v>107</v>
      </c>
      <c r="E125">
        <v>10.130000000000001</v>
      </c>
      <c r="G125">
        <v>1000</v>
      </c>
      <c r="H125">
        <v>33.9</v>
      </c>
      <c r="I125" t="s">
        <v>18</v>
      </c>
      <c r="J125" s="1">
        <v>1339.0563999999999</v>
      </c>
      <c r="K125">
        <v>1278870</v>
      </c>
      <c r="M125">
        <v>1278870.375</v>
      </c>
      <c r="O125">
        <v>84083.953999999998</v>
      </c>
    </row>
    <row r="126" spans="1:15" x14ac:dyDescent="0.2">
      <c r="A126">
        <v>16</v>
      </c>
      <c r="B126">
        <v>16</v>
      </c>
      <c r="C126" t="s">
        <v>108</v>
      </c>
      <c r="E126">
        <v>10.130000000000001</v>
      </c>
      <c r="G126">
        <v>1000</v>
      </c>
      <c r="H126">
        <v>27.6</v>
      </c>
      <c r="I126" t="s">
        <v>18</v>
      </c>
      <c r="J126" s="1">
        <v>1276.3152</v>
      </c>
      <c r="K126">
        <v>1218949</v>
      </c>
      <c r="M126">
        <v>1218949.125</v>
      </c>
      <c r="O126">
        <v>133039.28599999999</v>
      </c>
    </row>
    <row r="127" spans="1:15" x14ac:dyDescent="0.2">
      <c r="A127">
        <v>17</v>
      </c>
      <c r="B127">
        <v>17</v>
      </c>
      <c r="C127" t="s">
        <v>109</v>
      </c>
      <c r="E127">
        <v>10.130000000000001</v>
      </c>
      <c r="G127">
        <v>1000</v>
      </c>
      <c r="H127">
        <v>20.8</v>
      </c>
      <c r="I127" t="s">
        <v>18</v>
      </c>
      <c r="J127" s="1">
        <v>1208.0323000000001</v>
      </c>
      <c r="K127">
        <v>1153735</v>
      </c>
      <c r="M127">
        <v>1153735.375</v>
      </c>
      <c r="O127">
        <v>145282.272</v>
      </c>
    </row>
    <row r="128" spans="1:15" x14ac:dyDescent="0.2">
      <c r="A128">
        <v>18</v>
      </c>
      <c r="B128">
        <v>18</v>
      </c>
      <c r="C128" t="s">
        <v>110</v>
      </c>
      <c r="E128">
        <v>10.130000000000001</v>
      </c>
      <c r="G128">
        <v>1000</v>
      </c>
      <c r="H128">
        <v>14.8</v>
      </c>
      <c r="I128" t="s">
        <v>18</v>
      </c>
      <c r="J128" s="1">
        <v>1148.0789</v>
      </c>
      <c r="K128">
        <v>1096477</v>
      </c>
      <c r="M128">
        <v>1096476.625</v>
      </c>
      <c r="O128">
        <v>108949.643</v>
      </c>
    </row>
    <row r="129" spans="1:16" x14ac:dyDescent="0.2">
      <c r="A129">
        <v>19</v>
      </c>
      <c r="B129">
        <v>19</v>
      </c>
      <c r="C129" t="s">
        <v>111</v>
      </c>
      <c r="E129">
        <v>10.130000000000001</v>
      </c>
      <c r="G129">
        <v>1000</v>
      </c>
      <c r="H129">
        <v>9.5</v>
      </c>
      <c r="I129" t="s">
        <v>18</v>
      </c>
      <c r="J129" s="1">
        <v>1094.5622000000001</v>
      </c>
      <c r="K129">
        <v>1045365</v>
      </c>
      <c r="M129">
        <v>1045365.313</v>
      </c>
      <c r="O129">
        <v>47046.800999999999</v>
      </c>
    </row>
    <row r="130" spans="1:16" x14ac:dyDescent="0.2">
      <c r="A130">
        <v>20</v>
      </c>
      <c r="B130">
        <v>20</v>
      </c>
      <c r="C130" t="s">
        <v>112</v>
      </c>
      <c r="E130">
        <v>10.130000000000001</v>
      </c>
      <c r="G130">
        <v>1000</v>
      </c>
      <c r="H130">
        <v>6.1</v>
      </c>
      <c r="I130" t="s">
        <v>18</v>
      </c>
      <c r="J130" s="1">
        <v>1060.5425</v>
      </c>
      <c r="K130">
        <v>1012875</v>
      </c>
      <c r="M130">
        <v>1012874.688</v>
      </c>
      <c r="O130">
        <v>190496.432</v>
      </c>
    </row>
    <row r="131" spans="1:16" x14ac:dyDescent="0.2">
      <c r="A131">
        <v>21</v>
      </c>
      <c r="B131">
        <v>21</v>
      </c>
      <c r="C131" t="s">
        <v>113</v>
      </c>
      <c r="E131">
        <v>10.130000000000001</v>
      </c>
      <c r="G131">
        <v>1000</v>
      </c>
      <c r="H131">
        <v>9.1999999999999993</v>
      </c>
      <c r="I131" t="s">
        <v>18</v>
      </c>
      <c r="J131" s="1">
        <v>1092.31</v>
      </c>
      <c r="K131">
        <v>1043214</v>
      </c>
      <c r="M131">
        <v>1043214.375</v>
      </c>
      <c r="O131">
        <v>32109.441999999999</v>
      </c>
    </row>
    <row r="132" spans="1:16" x14ac:dyDescent="0.2">
      <c r="A132">
        <v>22</v>
      </c>
      <c r="B132">
        <v>22</v>
      </c>
      <c r="C132" t="s">
        <v>114</v>
      </c>
      <c r="E132">
        <v>10.130000000000001</v>
      </c>
      <c r="I132" t="s">
        <v>53</v>
      </c>
      <c r="J132" s="1">
        <v>0.70309999999999995</v>
      </c>
      <c r="K132">
        <v>671</v>
      </c>
      <c r="M132">
        <v>671.49300000000005</v>
      </c>
      <c r="O132">
        <v>35.274000000000001</v>
      </c>
    </row>
    <row r="133" spans="1:16" x14ac:dyDescent="0.2">
      <c r="A133">
        <v>23</v>
      </c>
      <c r="B133">
        <v>23</v>
      </c>
      <c r="C133" t="s">
        <v>115</v>
      </c>
      <c r="E133">
        <v>10.130000000000001</v>
      </c>
      <c r="I133" t="s">
        <v>53</v>
      </c>
      <c r="J133" s="1">
        <v>0.39</v>
      </c>
      <c r="K133">
        <v>372</v>
      </c>
      <c r="M133">
        <v>372.452</v>
      </c>
      <c r="O133">
        <v>41.972000000000001</v>
      </c>
    </row>
    <row r="134" spans="1:16" x14ac:dyDescent="0.2">
      <c r="A134">
        <v>24</v>
      </c>
      <c r="B134">
        <v>24</v>
      </c>
      <c r="C134" t="s">
        <v>116</v>
      </c>
      <c r="E134">
        <v>10.130000000000001</v>
      </c>
      <c r="I134" t="s">
        <v>53</v>
      </c>
      <c r="J134" s="1">
        <v>0.21099999999999999</v>
      </c>
      <c r="K134">
        <v>202</v>
      </c>
      <c r="M134">
        <v>201.523</v>
      </c>
      <c r="O134">
        <v>49.776000000000003</v>
      </c>
    </row>
    <row r="135" spans="1:16" x14ac:dyDescent="0.2">
      <c r="A135">
        <v>25</v>
      </c>
      <c r="B135">
        <v>25</v>
      </c>
      <c r="C135" t="s">
        <v>117</v>
      </c>
      <c r="E135">
        <v>10.130000000000001</v>
      </c>
      <c r="I135" t="s">
        <v>18</v>
      </c>
      <c r="J135" s="1">
        <v>1241.1198999999999</v>
      </c>
      <c r="K135">
        <v>1185336</v>
      </c>
      <c r="M135">
        <v>1185335.75</v>
      </c>
      <c r="O135">
        <v>45993.949000000001</v>
      </c>
    </row>
    <row r="137" spans="1:16" x14ac:dyDescent="0.2">
      <c r="A137" t="s">
        <v>56</v>
      </c>
    </row>
    <row r="139" spans="1:16" x14ac:dyDescent="0.2">
      <c r="B139" t="s">
        <v>3</v>
      </c>
      <c r="C139" t="s">
        <v>4</v>
      </c>
      <c r="D139" t="s">
        <v>5</v>
      </c>
      <c r="E139" t="s">
        <v>6</v>
      </c>
      <c r="F139" t="s">
        <v>7</v>
      </c>
      <c r="G139" t="s">
        <v>58</v>
      </c>
      <c r="H139" t="s">
        <v>8</v>
      </c>
      <c r="I139" t="s">
        <v>9</v>
      </c>
      <c r="J139" s="1" t="s">
        <v>84</v>
      </c>
      <c r="K139" t="s">
        <v>10</v>
      </c>
      <c r="L139" t="s">
        <v>11</v>
      </c>
      <c r="M139" t="s">
        <v>12</v>
      </c>
      <c r="N139" t="s">
        <v>13</v>
      </c>
      <c r="O139" t="s">
        <v>14</v>
      </c>
      <c r="P139" t="s">
        <v>15</v>
      </c>
    </row>
    <row r="140" spans="1:16" x14ac:dyDescent="0.2">
      <c r="A140">
        <v>1</v>
      </c>
      <c r="B140">
        <v>1</v>
      </c>
      <c r="C140" t="s">
        <v>85</v>
      </c>
      <c r="E140">
        <v>6.05</v>
      </c>
      <c r="F140" t="s">
        <v>17</v>
      </c>
      <c r="G140">
        <v>40</v>
      </c>
      <c r="H140">
        <v>-2</v>
      </c>
      <c r="I140" t="s">
        <v>18</v>
      </c>
      <c r="J140" s="1">
        <v>39.214799999999997</v>
      </c>
      <c r="K140">
        <v>5723</v>
      </c>
      <c r="L140">
        <v>135597</v>
      </c>
      <c r="M140">
        <v>54.865000000000002</v>
      </c>
      <c r="N140">
        <v>6243</v>
      </c>
      <c r="O140">
        <v>474.255</v>
      </c>
      <c r="P140">
        <v>0.91700000000000004</v>
      </c>
    </row>
    <row r="141" spans="1:16" x14ac:dyDescent="0.2">
      <c r="A141">
        <v>2</v>
      </c>
      <c r="B141">
        <v>2</v>
      </c>
      <c r="C141" t="s">
        <v>86</v>
      </c>
      <c r="E141">
        <v>6.05</v>
      </c>
      <c r="F141" t="s">
        <v>17</v>
      </c>
      <c r="G141">
        <v>110</v>
      </c>
      <c r="H141">
        <v>4.0999999999999996</v>
      </c>
      <c r="I141" t="s">
        <v>18</v>
      </c>
      <c r="J141" s="1">
        <v>114.46980000000001</v>
      </c>
      <c r="K141">
        <v>16944</v>
      </c>
      <c r="L141">
        <v>140851</v>
      </c>
      <c r="M141">
        <v>156.38499999999999</v>
      </c>
      <c r="N141">
        <v>18828</v>
      </c>
      <c r="O141">
        <v>2453.9630000000002</v>
      </c>
      <c r="P141">
        <v>0.9</v>
      </c>
    </row>
    <row r="142" spans="1:16" x14ac:dyDescent="0.2">
      <c r="A142">
        <v>3</v>
      </c>
      <c r="B142">
        <v>3</v>
      </c>
      <c r="C142" t="s">
        <v>87</v>
      </c>
      <c r="E142">
        <v>6.05</v>
      </c>
      <c r="F142" t="s">
        <v>17</v>
      </c>
      <c r="G142">
        <v>200</v>
      </c>
      <c r="H142">
        <v>0.6</v>
      </c>
      <c r="I142" t="s">
        <v>18</v>
      </c>
      <c r="J142" s="1">
        <v>201.16390000000001</v>
      </c>
      <c r="K142">
        <v>32504</v>
      </c>
      <c r="L142">
        <v>154600</v>
      </c>
      <c r="M142">
        <v>273.31799999999998</v>
      </c>
      <c r="N142">
        <v>35838</v>
      </c>
      <c r="O142">
        <v>5318.1909999999998</v>
      </c>
      <c r="P142">
        <v>0.90700000000000003</v>
      </c>
    </row>
    <row r="143" spans="1:16" x14ac:dyDescent="0.2">
      <c r="A143">
        <v>4</v>
      </c>
      <c r="B143">
        <v>4</v>
      </c>
      <c r="C143" t="s">
        <v>88</v>
      </c>
      <c r="E143">
        <v>6.05</v>
      </c>
      <c r="F143" t="s">
        <v>17</v>
      </c>
      <c r="G143">
        <v>540</v>
      </c>
      <c r="H143">
        <v>-3.2</v>
      </c>
      <c r="I143" t="s">
        <v>18</v>
      </c>
      <c r="J143" s="1">
        <v>522.70780000000002</v>
      </c>
      <c r="K143">
        <v>89176</v>
      </c>
      <c r="L143">
        <v>164011</v>
      </c>
      <c r="M143">
        <v>706.83900000000006</v>
      </c>
      <c r="N143">
        <v>99137</v>
      </c>
      <c r="O143">
        <v>8862.5470000000005</v>
      </c>
      <c r="P143">
        <v>0.9</v>
      </c>
    </row>
    <row r="144" spans="1:16" x14ac:dyDescent="0.2">
      <c r="A144">
        <v>5</v>
      </c>
      <c r="B144">
        <v>5</v>
      </c>
      <c r="C144" t="s">
        <v>89</v>
      </c>
      <c r="E144">
        <v>6.04</v>
      </c>
      <c r="F144" t="s">
        <v>17</v>
      </c>
      <c r="G144">
        <v>1000</v>
      </c>
      <c r="H144">
        <v>2.7</v>
      </c>
      <c r="I144" t="s">
        <v>18</v>
      </c>
      <c r="J144" s="1">
        <v>1026.8318999999999</v>
      </c>
      <c r="K144">
        <v>163254</v>
      </c>
      <c r="L144">
        <v>153128</v>
      </c>
      <c r="M144">
        <v>1385.963</v>
      </c>
      <c r="N144">
        <v>179817</v>
      </c>
      <c r="O144">
        <v>9568.89</v>
      </c>
      <c r="P144">
        <v>0.90800000000000003</v>
      </c>
    </row>
    <row r="145" spans="1:21" x14ac:dyDescent="0.2">
      <c r="A145">
        <v>6</v>
      </c>
      <c r="B145">
        <v>6</v>
      </c>
      <c r="C145" t="s">
        <v>90</v>
      </c>
      <c r="E145">
        <v>6.05</v>
      </c>
      <c r="F145" t="s">
        <v>17</v>
      </c>
      <c r="G145">
        <v>2000</v>
      </c>
      <c r="H145">
        <v>0.7</v>
      </c>
      <c r="I145" t="s">
        <v>18</v>
      </c>
      <c r="J145" s="1">
        <v>2013.1867999999999</v>
      </c>
      <c r="K145">
        <v>334740</v>
      </c>
      <c r="L145">
        <v>160414</v>
      </c>
      <c r="M145">
        <v>2712.7359999999999</v>
      </c>
      <c r="N145">
        <v>369683</v>
      </c>
      <c r="O145">
        <v>14981.215</v>
      </c>
      <c r="P145">
        <v>0.90500000000000003</v>
      </c>
    </row>
    <row r="146" spans="1:21" x14ac:dyDescent="0.2">
      <c r="A146">
        <v>7</v>
      </c>
      <c r="B146">
        <v>7</v>
      </c>
      <c r="C146" t="s">
        <v>91</v>
      </c>
      <c r="E146">
        <v>6.01</v>
      </c>
      <c r="F146" t="s">
        <v>17</v>
      </c>
      <c r="G146">
        <v>4000</v>
      </c>
      <c r="H146">
        <v>3.2</v>
      </c>
      <c r="I146" t="s">
        <v>18</v>
      </c>
      <c r="J146" s="1">
        <v>4126.3240999999998</v>
      </c>
      <c r="K146">
        <v>891321</v>
      </c>
      <c r="L146">
        <v>208915</v>
      </c>
      <c r="M146">
        <v>5546.3509999999997</v>
      </c>
      <c r="N146">
        <v>999889</v>
      </c>
      <c r="O146">
        <v>97768.112999999998</v>
      </c>
      <c r="P146">
        <v>0.89100000000000001</v>
      </c>
    </row>
    <row r="147" spans="1:21" x14ac:dyDescent="0.2">
      <c r="A147">
        <v>26</v>
      </c>
      <c r="B147">
        <v>26</v>
      </c>
      <c r="C147" t="s">
        <v>92</v>
      </c>
      <c r="E147">
        <v>6.02</v>
      </c>
      <c r="F147" t="s">
        <v>17</v>
      </c>
      <c r="G147">
        <v>110</v>
      </c>
      <c r="H147">
        <v>1.8</v>
      </c>
      <c r="I147" t="s">
        <v>18</v>
      </c>
      <c r="J147" s="1">
        <v>111.95780000000001</v>
      </c>
      <c r="K147">
        <v>20056</v>
      </c>
      <c r="L147">
        <v>170415</v>
      </c>
      <c r="M147">
        <v>152.99600000000001</v>
      </c>
      <c r="N147">
        <v>22593</v>
      </c>
      <c r="O147">
        <v>1777.7180000000001</v>
      </c>
      <c r="P147">
        <v>0.88800000000000001</v>
      </c>
    </row>
    <row r="148" spans="1:21" x14ac:dyDescent="0.2">
      <c r="A148">
        <v>27</v>
      </c>
      <c r="B148">
        <v>27</v>
      </c>
      <c r="C148" t="s">
        <v>93</v>
      </c>
      <c r="E148">
        <v>6.01</v>
      </c>
      <c r="F148" t="s">
        <v>17</v>
      </c>
      <c r="G148">
        <v>540</v>
      </c>
      <c r="H148">
        <v>-5.0999999999999996</v>
      </c>
      <c r="I148" t="s">
        <v>18</v>
      </c>
      <c r="J148" s="1">
        <v>512.39660000000003</v>
      </c>
      <c r="K148">
        <v>93030</v>
      </c>
      <c r="L148">
        <v>174529</v>
      </c>
      <c r="M148">
        <v>692.94100000000003</v>
      </c>
      <c r="N148">
        <v>104042</v>
      </c>
      <c r="O148">
        <v>12584.879000000001</v>
      </c>
      <c r="P148">
        <v>0.89400000000000002</v>
      </c>
    </row>
    <row r="149" spans="1:21" x14ac:dyDescent="0.2">
      <c r="A149">
        <v>28</v>
      </c>
      <c r="B149">
        <v>28</v>
      </c>
      <c r="C149" t="s">
        <v>94</v>
      </c>
      <c r="E149">
        <v>6.02</v>
      </c>
      <c r="F149" t="s">
        <v>17</v>
      </c>
      <c r="G149">
        <v>1000</v>
      </c>
      <c r="H149">
        <v>0.7</v>
      </c>
      <c r="I149" t="s">
        <v>18</v>
      </c>
      <c r="J149" s="1">
        <v>1007.4363</v>
      </c>
      <c r="K149">
        <v>178822</v>
      </c>
      <c r="L149">
        <v>170952</v>
      </c>
      <c r="M149">
        <v>1359.847</v>
      </c>
      <c r="N149">
        <v>199737</v>
      </c>
      <c r="O149">
        <v>6570.4160000000002</v>
      </c>
      <c r="P149">
        <v>0.89500000000000002</v>
      </c>
    </row>
    <row r="150" spans="1:21" x14ac:dyDescent="0.2">
      <c r="A150">
        <v>29</v>
      </c>
      <c r="B150">
        <v>29</v>
      </c>
      <c r="C150" t="s">
        <v>95</v>
      </c>
      <c r="E150">
        <v>6.02</v>
      </c>
      <c r="F150" t="s">
        <v>17</v>
      </c>
      <c r="G150">
        <v>4000</v>
      </c>
      <c r="H150">
        <v>-3.4</v>
      </c>
      <c r="I150" t="s">
        <v>18</v>
      </c>
      <c r="J150" s="1">
        <v>3864.3463999999999</v>
      </c>
      <c r="K150">
        <v>674704</v>
      </c>
      <c r="L150">
        <v>168815</v>
      </c>
      <c r="M150">
        <v>5195.7049999999999</v>
      </c>
      <c r="N150">
        <v>756172</v>
      </c>
      <c r="O150">
        <v>30675.419000000002</v>
      </c>
      <c r="P150">
        <v>0.89200000000000002</v>
      </c>
    </row>
    <row r="151" spans="1:21" x14ac:dyDescent="0.2">
      <c r="A151">
        <v>8</v>
      </c>
      <c r="B151">
        <v>8</v>
      </c>
      <c r="C151" t="s">
        <v>96</v>
      </c>
    </row>
    <row r="152" spans="1:21" x14ac:dyDescent="0.2">
      <c r="A152">
        <v>9</v>
      </c>
      <c r="B152">
        <v>9</v>
      </c>
      <c r="C152" t="s">
        <v>97</v>
      </c>
    </row>
    <row r="153" spans="1:21" x14ac:dyDescent="0.2">
      <c r="A153">
        <v>10</v>
      </c>
      <c r="B153">
        <v>10</v>
      </c>
      <c r="C153" t="s">
        <v>98</v>
      </c>
    </row>
    <row r="154" spans="1:21" x14ac:dyDescent="0.2">
      <c r="A154">
        <v>11</v>
      </c>
      <c r="B154">
        <v>11</v>
      </c>
      <c r="C154" t="s">
        <v>99</v>
      </c>
      <c r="L154">
        <v>208159</v>
      </c>
      <c r="R154" s="5" t="s">
        <v>61</v>
      </c>
      <c r="S154" t="s">
        <v>100</v>
      </c>
      <c r="T154" s="5" t="s">
        <v>67</v>
      </c>
      <c r="U154" s="5" t="s">
        <v>80</v>
      </c>
    </row>
    <row r="155" spans="1:21" x14ac:dyDescent="0.2">
      <c r="A155">
        <v>12</v>
      </c>
      <c r="B155">
        <v>12</v>
      </c>
      <c r="C155" t="s">
        <v>102</v>
      </c>
      <c r="L155">
        <v>15203</v>
      </c>
      <c r="R155" s="5">
        <v>4.8418999999999999</v>
      </c>
      <c r="S155" s="11">
        <f>(J155*200*20/1000)*9/8</f>
        <v>0</v>
      </c>
      <c r="T155" s="12">
        <f>(S155/R155)/1000</f>
        <v>0</v>
      </c>
      <c r="U155" s="5">
        <f>100+H188</f>
        <v>120.6</v>
      </c>
    </row>
    <row r="156" spans="1:21" x14ac:dyDescent="0.2">
      <c r="A156">
        <v>13</v>
      </c>
      <c r="B156">
        <v>13</v>
      </c>
      <c r="C156" t="s">
        <v>104</v>
      </c>
      <c r="L156">
        <v>14883</v>
      </c>
      <c r="R156" s="5">
        <v>4.8068999999999997</v>
      </c>
      <c r="S156" s="11">
        <f t="shared" ref="S156:S164" si="6">(J156*200*20/1000)*9/8</f>
        <v>0</v>
      </c>
      <c r="T156" s="12">
        <f t="shared" ref="T156:T164" si="7">(S156/R156)/1000</f>
        <v>0</v>
      </c>
      <c r="U156" s="5">
        <f t="shared" ref="U156:U164" si="8">100+H189</f>
        <v>118.1</v>
      </c>
    </row>
    <row r="157" spans="1:21" x14ac:dyDescent="0.2">
      <c r="A157">
        <v>14</v>
      </c>
      <c r="B157">
        <v>14</v>
      </c>
      <c r="C157" t="s">
        <v>105</v>
      </c>
      <c r="L157">
        <v>13555</v>
      </c>
      <c r="R157" s="5">
        <v>5.0617000000000001</v>
      </c>
      <c r="S157" s="11">
        <f t="shared" si="6"/>
        <v>0</v>
      </c>
      <c r="T157" s="12">
        <f t="shared" si="7"/>
        <v>0</v>
      </c>
      <c r="U157" s="5">
        <f t="shared" si="8"/>
        <v>107.6</v>
      </c>
    </row>
    <row r="158" spans="1:21" x14ac:dyDescent="0.2">
      <c r="A158">
        <v>15</v>
      </c>
      <c r="B158">
        <v>15</v>
      </c>
      <c r="C158" t="s">
        <v>107</v>
      </c>
      <c r="L158">
        <v>14002</v>
      </c>
      <c r="R158" s="5">
        <v>4.8475999999999999</v>
      </c>
      <c r="S158" s="11">
        <f t="shared" si="6"/>
        <v>0</v>
      </c>
      <c r="T158" s="12">
        <f t="shared" si="7"/>
        <v>0</v>
      </c>
      <c r="U158" s="5">
        <f t="shared" si="8"/>
        <v>111.1</v>
      </c>
    </row>
    <row r="159" spans="1:21" x14ac:dyDescent="0.2">
      <c r="A159">
        <v>16</v>
      </c>
      <c r="B159">
        <v>16</v>
      </c>
      <c r="C159" t="s">
        <v>108</v>
      </c>
      <c r="L159">
        <v>13628</v>
      </c>
      <c r="R159" s="5">
        <v>5.1044</v>
      </c>
      <c r="S159" s="11">
        <f t="shared" si="6"/>
        <v>0</v>
      </c>
      <c r="T159" s="12">
        <f t="shared" si="7"/>
        <v>0</v>
      </c>
      <c r="U159" s="5">
        <f t="shared" si="8"/>
        <v>108.1</v>
      </c>
    </row>
    <row r="160" spans="1:21" x14ac:dyDescent="0.2">
      <c r="A160">
        <v>17</v>
      </c>
      <c r="B160">
        <v>17</v>
      </c>
      <c r="C160" t="s">
        <v>109</v>
      </c>
      <c r="E160">
        <v>6.02</v>
      </c>
      <c r="I160" t="s">
        <v>18</v>
      </c>
      <c r="J160" s="1">
        <v>101.331</v>
      </c>
      <c r="K160">
        <v>17855</v>
      </c>
      <c r="L160">
        <v>12877</v>
      </c>
      <c r="M160">
        <v>138.66200000000001</v>
      </c>
      <c r="N160">
        <v>19891</v>
      </c>
      <c r="O160">
        <v>1471.2249999999999</v>
      </c>
      <c r="P160">
        <v>0.89800000000000002</v>
      </c>
      <c r="R160" s="5">
        <v>4.9059999999999997</v>
      </c>
      <c r="S160" s="11">
        <f t="shared" si="6"/>
        <v>455.98950000000002</v>
      </c>
      <c r="T160" s="12">
        <f t="shared" si="7"/>
        <v>9.2945271096616391E-2</v>
      </c>
      <c r="U160" s="5">
        <f t="shared" si="8"/>
        <v>102.2</v>
      </c>
    </row>
    <row r="161" spans="1:21" x14ac:dyDescent="0.2">
      <c r="A161">
        <v>18</v>
      </c>
      <c r="B161">
        <v>18</v>
      </c>
      <c r="C161" t="s">
        <v>110</v>
      </c>
      <c r="E161">
        <v>6.02</v>
      </c>
      <c r="I161" t="s">
        <v>18</v>
      </c>
      <c r="J161" s="1">
        <v>82.975499999999997</v>
      </c>
      <c r="K161">
        <v>15068</v>
      </c>
      <c r="L161">
        <v>13229</v>
      </c>
      <c r="M161">
        <v>113.9</v>
      </c>
      <c r="N161">
        <v>16684</v>
      </c>
      <c r="O161">
        <v>2827.6379999999999</v>
      </c>
      <c r="P161">
        <v>0.90300000000000002</v>
      </c>
      <c r="R161" s="5">
        <v>4.9728000000000003</v>
      </c>
      <c r="S161" s="11">
        <f t="shared" si="6"/>
        <v>373.38974999999999</v>
      </c>
      <c r="T161" s="12">
        <f t="shared" si="7"/>
        <v>7.5086420125482625E-2</v>
      </c>
      <c r="U161" s="5">
        <f t="shared" si="8"/>
        <v>105</v>
      </c>
    </row>
    <row r="162" spans="1:21" x14ac:dyDescent="0.2">
      <c r="A162">
        <v>19</v>
      </c>
      <c r="B162">
        <v>19</v>
      </c>
      <c r="C162" t="s">
        <v>111</v>
      </c>
      <c r="E162">
        <v>6.02</v>
      </c>
      <c r="I162" t="s">
        <v>18</v>
      </c>
      <c r="J162" s="1">
        <v>90.054000000000002</v>
      </c>
      <c r="K162">
        <v>16632</v>
      </c>
      <c r="L162">
        <v>13473</v>
      </c>
      <c r="M162">
        <v>123.449</v>
      </c>
      <c r="N162">
        <v>18423</v>
      </c>
      <c r="O162">
        <v>1728.47</v>
      </c>
      <c r="P162">
        <v>0.90300000000000002</v>
      </c>
      <c r="R162" s="5">
        <v>4.9157999999999999</v>
      </c>
      <c r="S162" s="11">
        <f t="shared" si="6"/>
        <v>405.24299999999999</v>
      </c>
      <c r="T162" s="12">
        <f t="shared" si="7"/>
        <v>8.2436836323690948E-2</v>
      </c>
      <c r="U162" s="5">
        <f t="shared" si="8"/>
        <v>106.9</v>
      </c>
    </row>
    <row r="163" spans="1:21" x14ac:dyDescent="0.2">
      <c r="A163">
        <v>20</v>
      </c>
      <c r="B163">
        <v>20</v>
      </c>
      <c r="C163" t="s">
        <v>112</v>
      </c>
      <c r="E163">
        <v>6.02</v>
      </c>
      <c r="I163" t="s">
        <v>18</v>
      </c>
      <c r="J163" s="1">
        <v>100.1648</v>
      </c>
      <c r="K163">
        <v>17474</v>
      </c>
      <c r="L163">
        <v>12746</v>
      </c>
      <c r="M163">
        <v>137.08799999999999</v>
      </c>
      <c r="N163">
        <v>19208</v>
      </c>
      <c r="O163">
        <v>3331.145</v>
      </c>
      <c r="P163">
        <v>0.91</v>
      </c>
      <c r="R163" s="5">
        <v>5.1893000000000002</v>
      </c>
      <c r="S163" s="11">
        <f t="shared" si="6"/>
        <v>450.74159999999995</v>
      </c>
      <c r="T163" s="12">
        <f t="shared" si="7"/>
        <v>8.6859807681190129E-2</v>
      </c>
      <c r="U163" s="5">
        <f t="shared" si="8"/>
        <v>101.1</v>
      </c>
    </row>
    <row r="164" spans="1:21" x14ac:dyDescent="0.2">
      <c r="A164">
        <v>21</v>
      </c>
      <c r="B164">
        <v>21</v>
      </c>
      <c r="C164" t="s">
        <v>113</v>
      </c>
      <c r="E164">
        <v>6.02</v>
      </c>
      <c r="I164" t="s">
        <v>18</v>
      </c>
      <c r="J164" s="1">
        <v>83.711600000000004</v>
      </c>
      <c r="K164">
        <v>14704</v>
      </c>
      <c r="L164">
        <v>12798</v>
      </c>
      <c r="M164">
        <v>114.893</v>
      </c>
      <c r="N164">
        <v>16566</v>
      </c>
      <c r="O164">
        <v>2080.172</v>
      </c>
      <c r="P164">
        <v>0.88800000000000001</v>
      </c>
      <c r="R164" s="5">
        <v>4.9038000000000004</v>
      </c>
      <c r="S164" s="11">
        <f t="shared" si="6"/>
        <v>376.7022</v>
      </c>
      <c r="T164" s="12">
        <f t="shared" si="7"/>
        <v>7.6818426526367306E-2</v>
      </c>
      <c r="U164" s="5">
        <f t="shared" si="8"/>
        <v>101.5</v>
      </c>
    </row>
    <row r="165" spans="1:21" x14ac:dyDescent="0.2">
      <c r="A165">
        <v>22</v>
      </c>
      <c r="B165">
        <v>22</v>
      </c>
      <c r="C165" t="s">
        <v>114</v>
      </c>
    </row>
    <row r="166" spans="1:21" x14ac:dyDescent="0.2">
      <c r="A166">
        <v>23</v>
      </c>
      <c r="B166">
        <v>23</v>
      </c>
      <c r="C166" t="s">
        <v>115</v>
      </c>
    </row>
    <row r="167" spans="1:21" x14ac:dyDescent="0.2">
      <c r="A167">
        <v>24</v>
      </c>
      <c r="B167">
        <v>24</v>
      </c>
      <c r="C167" t="s">
        <v>116</v>
      </c>
    </row>
    <row r="168" spans="1:21" x14ac:dyDescent="0.2">
      <c r="A168">
        <v>25</v>
      </c>
      <c r="B168">
        <v>25</v>
      </c>
      <c r="C168" t="s">
        <v>117</v>
      </c>
      <c r="L168">
        <v>178089</v>
      </c>
    </row>
    <row r="170" spans="1:21" x14ac:dyDescent="0.2">
      <c r="A170" t="s">
        <v>57</v>
      </c>
    </row>
    <row r="172" spans="1:21" x14ac:dyDescent="0.2">
      <c r="B172" t="s">
        <v>3</v>
      </c>
      <c r="C172" t="s">
        <v>4</v>
      </c>
      <c r="D172" t="s">
        <v>5</v>
      </c>
      <c r="E172" t="s">
        <v>6</v>
      </c>
      <c r="F172" t="s">
        <v>7</v>
      </c>
      <c r="G172" t="s">
        <v>58</v>
      </c>
      <c r="H172" t="s">
        <v>8</v>
      </c>
      <c r="I172" t="s">
        <v>9</v>
      </c>
      <c r="J172" s="1" t="s">
        <v>84</v>
      </c>
      <c r="K172" t="s">
        <v>10</v>
      </c>
      <c r="L172" t="s">
        <v>11</v>
      </c>
      <c r="M172" t="s">
        <v>12</v>
      </c>
      <c r="N172" t="s">
        <v>13</v>
      </c>
      <c r="O172" t="s">
        <v>14</v>
      </c>
      <c r="P172" t="s">
        <v>15</v>
      </c>
    </row>
    <row r="173" spans="1:21" x14ac:dyDescent="0.2">
      <c r="A173">
        <v>1</v>
      </c>
      <c r="B173">
        <v>1</v>
      </c>
      <c r="C173" t="s">
        <v>85</v>
      </c>
      <c r="E173">
        <v>6.03</v>
      </c>
      <c r="F173" t="s">
        <v>17</v>
      </c>
      <c r="G173">
        <v>1300</v>
      </c>
      <c r="H173">
        <v>-17.2</v>
      </c>
      <c r="I173" t="s">
        <v>18</v>
      </c>
      <c r="J173" s="1">
        <v>1075.9087</v>
      </c>
      <c r="K173">
        <v>135597</v>
      </c>
      <c r="M173">
        <v>135596.68799999999</v>
      </c>
      <c r="O173">
        <v>1596.69</v>
      </c>
    </row>
    <row r="174" spans="1:21" x14ac:dyDescent="0.2">
      <c r="A174">
        <v>2</v>
      </c>
      <c r="B174">
        <v>2</v>
      </c>
      <c r="C174" t="s">
        <v>86</v>
      </c>
      <c r="E174">
        <v>6.03</v>
      </c>
      <c r="F174" t="s">
        <v>17</v>
      </c>
      <c r="G174">
        <v>1300</v>
      </c>
      <c r="H174">
        <v>-14</v>
      </c>
      <c r="I174" t="s">
        <v>18</v>
      </c>
      <c r="J174" s="1">
        <v>1117.5959</v>
      </c>
      <c r="K174">
        <v>140851</v>
      </c>
      <c r="M174">
        <v>140850.516</v>
      </c>
      <c r="O174">
        <v>11143.179</v>
      </c>
    </row>
    <row r="175" spans="1:21" x14ac:dyDescent="0.2">
      <c r="A175">
        <v>3</v>
      </c>
      <c r="B175">
        <v>3</v>
      </c>
      <c r="C175" t="s">
        <v>87</v>
      </c>
      <c r="E175">
        <v>6.03</v>
      </c>
      <c r="F175" t="s">
        <v>17</v>
      </c>
      <c r="G175">
        <v>1300</v>
      </c>
      <c r="H175">
        <v>-5.6</v>
      </c>
      <c r="I175" t="s">
        <v>18</v>
      </c>
      <c r="J175" s="1">
        <v>1226.6960999999999</v>
      </c>
      <c r="K175">
        <v>154600</v>
      </c>
      <c r="M175">
        <v>154600.40599999999</v>
      </c>
      <c r="O175">
        <v>13450.162</v>
      </c>
    </row>
    <row r="176" spans="1:21" x14ac:dyDescent="0.2">
      <c r="A176">
        <v>4</v>
      </c>
      <c r="B176">
        <v>4</v>
      </c>
      <c r="C176" t="s">
        <v>88</v>
      </c>
      <c r="E176">
        <v>6.03</v>
      </c>
      <c r="F176" t="s">
        <v>17</v>
      </c>
      <c r="G176">
        <v>1300</v>
      </c>
      <c r="H176">
        <v>0.1</v>
      </c>
      <c r="I176" t="s">
        <v>18</v>
      </c>
      <c r="J176" s="1">
        <v>1301.3665000000001</v>
      </c>
      <c r="K176">
        <v>164011</v>
      </c>
      <c r="M176">
        <v>164011.109</v>
      </c>
      <c r="O176">
        <v>17901.066999999999</v>
      </c>
    </row>
    <row r="177" spans="1:15" x14ac:dyDescent="0.2">
      <c r="A177">
        <v>5</v>
      </c>
      <c r="B177">
        <v>5</v>
      </c>
      <c r="C177" t="s">
        <v>89</v>
      </c>
      <c r="E177">
        <v>6.03</v>
      </c>
      <c r="F177" t="s">
        <v>17</v>
      </c>
      <c r="G177">
        <v>1300</v>
      </c>
      <c r="H177">
        <v>-6.5</v>
      </c>
      <c r="I177" t="s">
        <v>18</v>
      </c>
      <c r="J177" s="1">
        <v>1215.0155</v>
      </c>
      <c r="K177">
        <v>153128</v>
      </c>
      <c r="M177">
        <v>153128.29699999999</v>
      </c>
      <c r="O177">
        <v>10888.49</v>
      </c>
    </row>
    <row r="178" spans="1:15" x14ac:dyDescent="0.2">
      <c r="A178">
        <v>6</v>
      </c>
      <c r="B178">
        <v>6</v>
      </c>
      <c r="C178" t="s">
        <v>90</v>
      </c>
      <c r="E178">
        <v>6.03</v>
      </c>
      <c r="F178" t="s">
        <v>17</v>
      </c>
      <c r="G178">
        <v>1300</v>
      </c>
      <c r="H178">
        <v>-2.1</v>
      </c>
      <c r="I178" t="s">
        <v>18</v>
      </c>
      <c r="J178" s="1">
        <v>1272.827</v>
      </c>
      <c r="K178">
        <v>160414</v>
      </c>
      <c r="M178">
        <v>160414.28099999999</v>
      </c>
      <c r="O178">
        <v>18770.699000000001</v>
      </c>
    </row>
    <row r="179" spans="1:15" x14ac:dyDescent="0.2">
      <c r="A179">
        <v>7</v>
      </c>
      <c r="B179">
        <v>7</v>
      </c>
      <c r="C179" t="s">
        <v>91</v>
      </c>
      <c r="E179">
        <v>6</v>
      </c>
      <c r="F179" t="s">
        <v>17</v>
      </c>
      <c r="G179">
        <v>1300</v>
      </c>
      <c r="H179">
        <v>27.5</v>
      </c>
      <c r="I179" t="s">
        <v>18</v>
      </c>
      <c r="J179" s="1">
        <v>1657.6646000000001</v>
      </c>
      <c r="K179">
        <v>208915</v>
      </c>
      <c r="M179">
        <v>208915.32800000001</v>
      </c>
      <c r="O179">
        <v>10407.014999999999</v>
      </c>
    </row>
    <row r="180" spans="1:15" x14ac:dyDescent="0.2">
      <c r="A180">
        <v>26</v>
      </c>
      <c r="B180">
        <v>26</v>
      </c>
      <c r="C180" t="s">
        <v>92</v>
      </c>
      <c r="E180">
        <v>6</v>
      </c>
      <c r="F180" t="s">
        <v>17</v>
      </c>
      <c r="G180">
        <v>1300</v>
      </c>
      <c r="H180">
        <v>4</v>
      </c>
      <c r="I180" t="s">
        <v>18</v>
      </c>
      <c r="J180" s="1">
        <v>1352.1786</v>
      </c>
      <c r="K180">
        <v>170415</v>
      </c>
      <c r="M180">
        <v>170414.95300000001</v>
      </c>
      <c r="O180">
        <v>9509.723</v>
      </c>
    </row>
    <row r="181" spans="1:15" x14ac:dyDescent="0.2">
      <c r="A181">
        <v>27</v>
      </c>
      <c r="B181">
        <v>27</v>
      </c>
      <c r="C181" t="s">
        <v>93</v>
      </c>
      <c r="E181">
        <v>6</v>
      </c>
      <c r="F181" t="s">
        <v>17</v>
      </c>
      <c r="G181">
        <v>1300</v>
      </c>
      <c r="H181">
        <v>6.5</v>
      </c>
      <c r="I181" t="s">
        <v>18</v>
      </c>
      <c r="J181" s="1">
        <v>1384.8235</v>
      </c>
      <c r="K181">
        <v>174529</v>
      </c>
      <c r="M181">
        <v>174529.18799999999</v>
      </c>
      <c r="O181">
        <v>13323.096</v>
      </c>
    </row>
    <row r="182" spans="1:15" x14ac:dyDescent="0.2">
      <c r="A182">
        <v>28</v>
      </c>
      <c r="B182">
        <v>28</v>
      </c>
      <c r="C182" t="s">
        <v>94</v>
      </c>
      <c r="E182">
        <v>6</v>
      </c>
      <c r="F182" t="s">
        <v>17</v>
      </c>
      <c r="G182">
        <v>1300</v>
      </c>
      <c r="H182">
        <v>4.3</v>
      </c>
      <c r="I182" t="s">
        <v>18</v>
      </c>
      <c r="J182" s="1">
        <v>1356.4368999999999</v>
      </c>
      <c r="K182">
        <v>170952</v>
      </c>
      <c r="M182">
        <v>170951.625</v>
      </c>
      <c r="O182">
        <v>6691.2969999999996</v>
      </c>
    </row>
    <row r="183" spans="1:15" x14ac:dyDescent="0.2">
      <c r="A183">
        <v>29</v>
      </c>
      <c r="B183">
        <v>29</v>
      </c>
      <c r="C183" t="s">
        <v>95</v>
      </c>
      <c r="E183">
        <v>6</v>
      </c>
      <c r="F183" t="s">
        <v>17</v>
      </c>
      <c r="G183">
        <v>1300</v>
      </c>
      <c r="H183">
        <v>3</v>
      </c>
      <c r="I183" t="s">
        <v>18</v>
      </c>
      <c r="J183" s="1">
        <v>1339.4869000000001</v>
      </c>
      <c r="K183">
        <v>168815</v>
      </c>
      <c r="M183">
        <v>168815.42199999999</v>
      </c>
      <c r="O183">
        <v>10966.125</v>
      </c>
    </row>
    <row r="184" spans="1:15" x14ac:dyDescent="0.2">
      <c r="A184">
        <v>8</v>
      </c>
      <c r="B184">
        <v>8</v>
      </c>
      <c r="C184" t="s">
        <v>96</v>
      </c>
    </row>
    <row r="185" spans="1:15" x14ac:dyDescent="0.2">
      <c r="A185">
        <v>9</v>
      </c>
      <c r="B185">
        <v>9</v>
      </c>
      <c r="C185" t="s">
        <v>97</v>
      </c>
    </row>
    <row r="186" spans="1:15" x14ac:dyDescent="0.2">
      <c r="A186">
        <v>10</v>
      </c>
      <c r="B186">
        <v>10</v>
      </c>
      <c r="C186" t="s">
        <v>98</v>
      </c>
    </row>
    <row r="187" spans="1:15" x14ac:dyDescent="0.2">
      <c r="A187">
        <v>11</v>
      </c>
      <c r="B187">
        <v>11</v>
      </c>
      <c r="C187" t="s">
        <v>99</v>
      </c>
      <c r="E187">
        <v>6</v>
      </c>
      <c r="G187">
        <v>1300</v>
      </c>
      <c r="H187">
        <v>27.1</v>
      </c>
      <c r="I187" t="s">
        <v>18</v>
      </c>
      <c r="J187" s="1">
        <v>1651.6665</v>
      </c>
      <c r="K187">
        <v>208159</v>
      </c>
      <c r="M187">
        <v>208159.391</v>
      </c>
      <c r="O187">
        <v>6099.2929999999997</v>
      </c>
    </row>
    <row r="188" spans="1:15" x14ac:dyDescent="0.2">
      <c r="A188">
        <v>12</v>
      </c>
      <c r="B188">
        <v>12</v>
      </c>
      <c r="C188" t="s">
        <v>102</v>
      </c>
      <c r="E188">
        <v>6</v>
      </c>
      <c r="G188">
        <v>100</v>
      </c>
      <c r="H188">
        <v>20.6</v>
      </c>
      <c r="I188" t="s">
        <v>18</v>
      </c>
      <c r="J188" s="1">
        <v>120.6307</v>
      </c>
      <c r="K188">
        <v>15203</v>
      </c>
      <c r="M188">
        <v>15203.074000000001</v>
      </c>
      <c r="O188">
        <v>927.32</v>
      </c>
    </row>
    <row r="189" spans="1:15" x14ac:dyDescent="0.2">
      <c r="A189">
        <v>13</v>
      </c>
      <c r="B189">
        <v>13</v>
      </c>
      <c r="C189" t="s">
        <v>104</v>
      </c>
      <c r="E189">
        <v>6</v>
      </c>
      <c r="G189">
        <v>100</v>
      </c>
      <c r="H189">
        <v>18.100000000000001</v>
      </c>
      <c r="I189" t="s">
        <v>18</v>
      </c>
      <c r="J189" s="1">
        <v>118.0873</v>
      </c>
      <c r="K189">
        <v>14883</v>
      </c>
      <c r="M189">
        <v>14882.535</v>
      </c>
      <c r="O189">
        <v>1409.58</v>
      </c>
    </row>
    <row r="190" spans="1:15" x14ac:dyDescent="0.2">
      <c r="A190">
        <v>14</v>
      </c>
      <c r="B190">
        <v>14</v>
      </c>
      <c r="C190" t="s">
        <v>105</v>
      </c>
      <c r="E190">
        <v>6</v>
      </c>
      <c r="G190">
        <v>100</v>
      </c>
      <c r="H190">
        <v>7.6</v>
      </c>
      <c r="I190" t="s">
        <v>18</v>
      </c>
      <c r="J190" s="1">
        <v>107.55549999999999</v>
      </c>
      <c r="K190">
        <v>13555</v>
      </c>
      <c r="M190">
        <v>13555.208000000001</v>
      </c>
      <c r="O190">
        <v>993.04899999999998</v>
      </c>
    </row>
    <row r="191" spans="1:15" x14ac:dyDescent="0.2">
      <c r="A191">
        <v>15</v>
      </c>
      <c r="B191">
        <v>15</v>
      </c>
      <c r="C191" t="s">
        <v>107</v>
      </c>
      <c r="E191">
        <v>6.01</v>
      </c>
      <c r="G191">
        <v>100</v>
      </c>
      <c r="H191">
        <v>11.1</v>
      </c>
      <c r="I191" t="s">
        <v>18</v>
      </c>
      <c r="J191" s="1">
        <v>111.0976</v>
      </c>
      <c r="K191">
        <v>14002</v>
      </c>
      <c r="M191">
        <v>14001.626</v>
      </c>
      <c r="O191">
        <v>1154.5050000000001</v>
      </c>
    </row>
    <row r="192" spans="1:15" x14ac:dyDescent="0.2">
      <c r="A192">
        <v>16</v>
      </c>
      <c r="B192">
        <v>16</v>
      </c>
      <c r="C192" t="s">
        <v>108</v>
      </c>
      <c r="E192">
        <v>6</v>
      </c>
      <c r="G192">
        <v>100</v>
      </c>
      <c r="H192">
        <v>8.1</v>
      </c>
      <c r="I192" t="s">
        <v>18</v>
      </c>
      <c r="J192" s="1">
        <v>108.1345</v>
      </c>
      <c r="K192">
        <v>13628</v>
      </c>
      <c r="M192">
        <v>13628.181</v>
      </c>
      <c r="O192">
        <v>892.84500000000003</v>
      </c>
    </row>
    <row r="193" spans="1:15" x14ac:dyDescent="0.2">
      <c r="A193">
        <v>17</v>
      </c>
      <c r="B193">
        <v>17</v>
      </c>
      <c r="C193" t="s">
        <v>109</v>
      </c>
      <c r="E193">
        <v>6</v>
      </c>
      <c r="G193">
        <v>100</v>
      </c>
      <c r="H193">
        <v>2.2000000000000002</v>
      </c>
      <c r="I193" t="s">
        <v>18</v>
      </c>
      <c r="J193" s="1">
        <v>102.1729</v>
      </c>
      <c r="K193">
        <v>12877</v>
      </c>
      <c r="M193">
        <v>12876.846</v>
      </c>
      <c r="O193">
        <v>437.995</v>
      </c>
    </row>
    <row r="194" spans="1:15" x14ac:dyDescent="0.2">
      <c r="A194">
        <v>18</v>
      </c>
      <c r="B194">
        <v>18</v>
      </c>
      <c r="C194" t="s">
        <v>110</v>
      </c>
      <c r="E194">
        <v>6.01</v>
      </c>
      <c r="G194">
        <v>100</v>
      </c>
      <c r="H194">
        <v>5</v>
      </c>
      <c r="I194" t="s">
        <v>18</v>
      </c>
      <c r="J194" s="1">
        <v>104.96850000000001</v>
      </c>
      <c r="K194">
        <v>13229</v>
      </c>
      <c r="M194">
        <v>13229.17</v>
      </c>
      <c r="O194">
        <v>1015.605</v>
      </c>
    </row>
    <row r="195" spans="1:15" x14ac:dyDescent="0.2">
      <c r="A195">
        <v>19</v>
      </c>
      <c r="B195">
        <v>19</v>
      </c>
      <c r="C195" t="s">
        <v>111</v>
      </c>
      <c r="E195">
        <v>6</v>
      </c>
      <c r="G195">
        <v>100</v>
      </c>
      <c r="H195">
        <v>6.9</v>
      </c>
      <c r="I195" t="s">
        <v>18</v>
      </c>
      <c r="J195" s="1">
        <v>106.90260000000001</v>
      </c>
      <c r="K195">
        <v>13473</v>
      </c>
      <c r="M195">
        <v>13472.923000000001</v>
      </c>
      <c r="O195">
        <v>1097.8140000000001</v>
      </c>
    </row>
    <row r="196" spans="1:15" x14ac:dyDescent="0.2">
      <c r="A196">
        <v>20</v>
      </c>
      <c r="B196">
        <v>20</v>
      </c>
      <c r="C196" t="s">
        <v>112</v>
      </c>
      <c r="E196">
        <v>6</v>
      </c>
      <c r="G196">
        <v>100</v>
      </c>
      <c r="H196">
        <v>1.1000000000000001</v>
      </c>
      <c r="I196" t="s">
        <v>18</v>
      </c>
      <c r="J196" s="1">
        <v>101.1361</v>
      </c>
      <c r="K196">
        <v>12746</v>
      </c>
      <c r="M196">
        <v>12746.171</v>
      </c>
      <c r="O196">
        <v>1007.273</v>
      </c>
    </row>
    <row r="197" spans="1:15" x14ac:dyDescent="0.2">
      <c r="A197">
        <v>21</v>
      </c>
      <c r="B197">
        <v>21</v>
      </c>
      <c r="C197" t="s">
        <v>113</v>
      </c>
      <c r="E197">
        <v>6</v>
      </c>
      <c r="G197">
        <v>100</v>
      </c>
      <c r="H197">
        <v>1.5</v>
      </c>
      <c r="I197" t="s">
        <v>18</v>
      </c>
      <c r="J197" s="1">
        <v>101.54389999999999</v>
      </c>
      <c r="K197">
        <v>12798</v>
      </c>
      <c r="M197">
        <v>12797.572</v>
      </c>
      <c r="O197">
        <v>964.10799999999995</v>
      </c>
    </row>
    <row r="198" spans="1:15" x14ac:dyDescent="0.2">
      <c r="A198">
        <v>22</v>
      </c>
      <c r="B198">
        <v>22</v>
      </c>
      <c r="C198" t="s">
        <v>114</v>
      </c>
    </row>
    <row r="199" spans="1:15" x14ac:dyDescent="0.2">
      <c r="A199">
        <v>23</v>
      </c>
      <c r="B199">
        <v>23</v>
      </c>
      <c r="C199" t="s">
        <v>115</v>
      </c>
    </row>
    <row r="200" spans="1:15" x14ac:dyDescent="0.2">
      <c r="A200">
        <v>24</v>
      </c>
      <c r="B200">
        <v>24</v>
      </c>
      <c r="C200" t="s">
        <v>116</v>
      </c>
    </row>
    <row r="201" spans="1:15" x14ac:dyDescent="0.2">
      <c r="A201">
        <v>25</v>
      </c>
      <c r="B201">
        <v>25</v>
      </c>
      <c r="C201" t="s">
        <v>117</v>
      </c>
      <c r="E201">
        <v>6</v>
      </c>
      <c r="I201" t="s">
        <v>18</v>
      </c>
      <c r="J201" s="1">
        <v>1413.0653</v>
      </c>
      <c r="K201">
        <v>178089</v>
      </c>
      <c r="M201">
        <v>178088.5</v>
      </c>
      <c r="O201">
        <v>9883.2459999999992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  <pageSetUpPr fitToPage="1"/>
  </sheetPr>
  <dimension ref="A1:H15"/>
  <sheetViews>
    <sheetView tabSelected="1" workbookViewId="0">
      <selection activeCell="B11" sqref="B11:B15"/>
    </sheetView>
  </sheetViews>
  <sheetFormatPr baseColWidth="10" defaultRowHeight="15" x14ac:dyDescent="0.2"/>
  <cols>
    <col min="1" max="1" width="13.1640625" bestFit="1" customWidth="1"/>
    <col min="2" max="2" width="13.1640625" customWidth="1"/>
    <col min="4" max="4" width="16.83203125" customWidth="1"/>
    <col min="5" max="5" width="15.83203125" customWidth="1"/>
    <col min="6" max="6" width="13.83203125" customWidth="1"/>
    <col min="8" max="8" width="13.83203125" customWidth="1"/>
  </cols>
  <sheetData>
    <row r="1" spans="1:8" x14ac:dyDescent="0.2">
      <c r="F1" s="19" t="s">
        <v>118</v>
      </c>
      <c r="G1" s="19"/>
    </row>
    <row r="2" spans="1:8" x14ac:dyDescent="0.2">
      <c r="D2" s="5" t="s">
        <v>81</v>
      </c>
      <c r="E2" s="5" t="s">
        <v>82</v>
      </c>
      <c r="F2" s="20" t="s">
        <v>79</v>
      </c>
      <c r="G2" s="20"/>
    </row>
    <row r="3" spans="1:8" x14ac:dyDescent="0.2">
      <c r="A3" t="s">
        <v>68</v>
      </c>
      <c r="D3" s="5" t="s">
        <v>75</v>
      </c>
      <c r="E3" s="5" t="s">
        <v>75</v>
      </c>
      <c r="F3" s="1" t="s">
        <v>76</v>
      </c>
      <c r="G3" s="16" t="s">
        <v>77</v>
      </c>
    </row>
    <row r="4" spans="1:8" x14ac:dyDescent="0.2">
      <c r="B4">
        <v>0</v>
      </c>
      <c r="C4" s="5" t="s">
        <v>69</v>
      </c>
      <c r="D4" s="12">
        <f>'250505_these Lisa_sol_cinetique'!T99</f>
        <v>0.7862444999999999</v>
      </c>
      <c r="E4" s="12">
        <f>'250513_these Lisa_sol_cinetique'!T89</f>
        <v>0.77412240029740387</v>
      </c>
      <c r="F4" s="18">
        <f>AVERAGE(D4:E4)</f>
        <v>0.78018345014870194</v>
      </c>
      <c r="G4" s="17">
        <f>STDEV(D4:E4)</f>
        <v>8.5716189019250863E-3</v>
      </c>
    </row>
    <row r="5" spans="1:8" x14ac:dyDescent="0.2">
      <c r="B5">
        <v>0</v>
      </c>
      <c r="C5" s="5" t="s">
        <v>70</v>
      </c>
      <c r="D5" s="12">
        <f>'250505_these Lisa_sol_cinetique'!T100</f>
        <v>1.1031389999999999</v>
      </c>
      <c r="E5" s="12">
        <f>'250513_these Lisa_sol_cinetique'!T90</f>
        <v>1.0371943456281596</v>
      </c>
      <c r="F5" s="18">
        <f t="shared" ref="F5:F8" si="0">AVERAGE(D5:E5)</f>
        <v>1.0701666728140797</v>
      </c>
      <c r="G5" s="17">
        <f t="shared" ref="G5:G15" si="1">STDEV(D5:E5)</f>
        <v>4.6629912289331367E-2</v>
      </c>
    </row>
    <row r="6" spans="1:8" x14ac:dyDescent="0.2">
      <c r="B6">
        <v>7</v>
      </c>
      <c r="C6" s="5" t="s">
        <v>71</v>
      </c>
      <c r="D6" s="12">
        <f>'250505_these Lisa_sol_cinetique'!T98</f>
        <v>0.70956494999999997</v>
      </c>
      <c r="E6" s="12">
        <f>'250513_these Lisa_sol_cinetique'!T91</f>
        <v>0.73937088330007705</v>
      </c>
      <c r="F6" s="18">
        <f t="shared" si="0"/>
        <v>0.72446791665003851</v>
      </c>
      <c r="G6" s="17">
        <f t="shared" si="1"/>
        <v>2.1075977556078436E-2</v>
      </c>
    </row>
    <row r="7" spans="1:8" x14ac:dyDescent="0.2">
      <c r="B7">
        <v>14</v>
      </c>
      <c r="C7" s="5" t="s">
        <v>72</v>
      </c>
      <c r="D7" s="14">
        <f>'250505_these Lisa_sol_cinetique'!T101</f>
        <v>2.8317842999999998</v>
      </c>
      <c r="E7" s="12">
        <f>'250513_these Lisa_sol_cinetique'!T92</f>
        <v>0.79043814464889839</v>
      </c>
      <c r="F7" s="18">
        <f>E7</f>
        <v>0.79043814464889839</v>
      </c>
      <c r="G7" s="17"/>
      <c r="H7" s="10" t="s">
        <v>78</v>
      </c>
    </row>
    <row r="8" spans="1:8" x14ac:dyDescent="0.2">
      <c r="B8">
        <v>21</v>
      </c>
      <c r="C8" s="5" t="s">
        <v>73</v>
      </c>
      <c r="D8" s="12">
        <f>'250505_these Lisa_sol_cinetique'!T96</f>
        <v>0.79721955</v>
      </c>
      <c r="E8" s="12">
        <f>'250513_these Lisa_sol_cinetique'!T93</f>
        <v>0.93527541924614044</v>
      </c>
      <c r="F8" s="18">
        <f t="shared" si="0"/>
        <v>0.86624748462307022</v>
      </c>
      <c r="G8" s="17">
        <f t="shared" si="1"/>
        <v>9.7620241326549242E-2</v>
      </c>
    </row>
    <row r="9" spans="1:8" x14ac:dyDescent="0.2">
      <c r="F9" s="1"/>
      <c r="G9" s="17"/>
    </row>
    <row r="10" spans="1:8" x14ac:dyDescent="0.2">
      <c r="A10" t="s">
        <v>74</v>
      </c>
      <c r="D10" s="5" t="s">
        <v>75</v>
      </c>
      <c r="E10" s="5" t="s">
        <v>75</v>
      </c>
      <c r="F10" s="1"/>
      <c r="G10" s="17"/>
    </row>
    <row r="11" spans="1:8" x14ac:dyDescent="0.2">
      <c r="B11">
        <v>0</v>
      </c>
      <c r="C11" s="5" t="s">
        <v>69</v>
      </c>
      <c r="D11" s="12">
        <f>'250505_these Lisa_sol_cinetique'!T179</f>
        <v>8.5987935000000001E-2</v>
      </c>
      <c r="E11" s="12">
        <f>'250513_these Lisa_sol_cinetique'!T160</f>
        <v>9.2945271096616391E-2</v>
      </c>
      <c r="F11" s="18">
        <f t="shared" ref="F11:F15" si="2">AVERAGE(D11:E11)</f>
        <v>8.9466603048308196E-2</v>
      </c>
      <c r="G11" s="17">
        <f t="shared" si="1"/>
        <v>4.9195795329113941E-3</v>
      </c>
    </row>
    <row r="12" spans="1:8" x14ac:dyDescent="0.2">
      <c r="B12">
        <v>0</v>
      </c>
      <c r="C12" s="5" t="s">
        <v>70</v>
      </c>
      <c r="D12" s="12">
        <f>'250505_these Lisa_sol_cinetique'!T180</f>
        <v>6.8928075000000005E-2</v>
      </c>
      <c r="E12" s="12">
        <f>'250513_these Lisa_sol_cinetique'!T161</f>
        <v>7.5086420125482625E-2</v>
      </c>
      <c r="F12" s="18">
        <f t="shared" si="2"/>
        <v>7.2007247562741322E-2</v>
      </c>
      <c r="G12" s="17">
        <f t="shared" si="1"/>
        <v>4.354607599115881E-3</v>
      </c>
    </row>
    <row r="13" spans="1:8" x14ac:dyDescent="0.2">
      <c r="B13">
        <v>7</v>
      </c>
      <c r="C13" s="5" t="s">
        <v>71</v>
      </c>
      <c r="D13" s="12">
        <f>'250505_these Lisa_sol_cinetique'!T178</f>
        <v>8.0937405000000004E-2</v>
      </c>
      <c r="E13" s="12">
        <f>'250513_these Lisa_sol_cinetique'!T162</f>
        <v>8.2436836323690948E-2</v>
      </c>
      <c r="F13" s="18">
        <f t="shared" si="2"/>
        <v>8.1687120661845469E-2</v>
      </c>
      <c r="G13" s="17">
        <f t="shared" si="1"/>
        <v>1.0602580569053881E-3</v>
      </c>
    </row>
    <row r="14" spans="1:8" x14ac:dyDescent="0.2">
      <c r="B14">
        <v>14</v>
      </c>
      <c r="C14" s="5" t="s">
        <v>72</v>
      </c>
      <c r="D14" s="12">
        <f>'250505_these Lisa_sol_cinetique'!T177</f>
        <v>8.0495775000000006E-2</v>
      </c>
      <c r="E14" s="12">
        <f>'250513_these Lisa_sol_cinetique'!T163</f>
        <v>8.6859807681190129E-2</v>
      </c>
      <c r="F14" s="18">
        <f t="shared" si="2"/>
        <v>8.3677791340595067E-2</v>
      </c>
      <c r="G14" s="17">
        <f t="shared" si="1"/>
        <v>4.500050664562342E-3</v>
      </c>
    </row>
    <row r="15" spans="1:8" x14ac:dyDescent="0.2">
      <c r="B15">
        <v>21</v>
      </c>
      <c r="C15" s="5" t="s">
        <v>73</v>
      </c>
      <c r="D15" s="12">
        <f>'250505_these Lisa_sol_cinetique'!T176</f>
        <v>6.9504029999999981E-2</v>
      </c>
      <c r="E15" s="12">
        <f>'250513_these Lisa_sol_cinetique'!T164</f>
        <v>7.6818426526367306E-2</v>
      </c>
      <c r="F15" s="18">
        <f t="shared" si="2"/>
        <v>7.3161228263183636E-2</v>
      </c>
      <c r="G15" s="17">
        <f t="shared" si="1"/>
        <v>5.1720593840816637E-3</v>
      </c>
    </row>
  </sheetData>
  <mergeCells count="2">
    <mergeCell ref="F1:G1"/>
    <mergeCell ref="F2:G2"/>
  </mergeCells>
  <pageMargins left="0.7" right="0.7" top="0.75" bottom="0.75" header="0.3" footer="0.3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250505_these Lisa_sol_cinetique</vt:lpstr>
      <vt:lpstr>250513_these Lisa_sol_cinetique</vt:lpstr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Ghislaine Delarue</dc:creator>
  <cp:lastModifiedBy>Lisa Gollot</cp:lastModifiedBy>
  <cp:lastPrinted>2025-05-26T14:36:18Z</cp:lastPrinted>
  <dcterms:created xsi:type="dcterms:W3CDTF">2025-05-07T13:58:25Z</dcterms:created>
  <dcterms:modified xsi:type="dcterms:W3CDTF">2025-07-01T07:40:53Z</dcterms:modified>
</cp:coreProperties>
</file>