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delarue\Documents\projet_EEWORM\VDT\"/>
    </mc:Choice>
  </mc:AlternateContent>
  <xr:revisionPtr revIDLastSave="0" documentId="13_ncr:1_{70087EEB-071F-435D-A0FF-06774001A36A}" xr6:coauthVersionLast="36" xr6:coauthVersionMax="36" xr10:uidLastSave="{00000000-0000-0000-0000-000000000000}"/>
  <bookViews>
    <workbookView xWindow="0" yWindow="0" windowWidth="19200" windowHeight="7870" activeTab="2" xr2:uid="{00000000-000D-0000-FFFF-FFFF00000000}"/>
  </bookViews>
  <sheets>
    <sheet name="facteur récupération" sheetId="2" r:id="rId1"/>
    <sheet name="260210_tese Lisa_vdt_TKbis" sheetId="1" r:id="rId2"/>
    <sheet name="résultats" sheetId="3" r:id="rId3"/>
  </sheets>
  <calcPr calcId="191029"/>
</workbook>
</file>

<file path=xl/calcChain.xml><?xml version="1.0" encoding="utf-8"?>
<calcChain xmlns="http://schemas.openxmlformats.org/spreadsheetml/2006/main">
  <c r="B3" i="3" l="1"/>
  <c r="B11" i="2" l="1"/>
  <c r="B7" i="2"/>
  <c r="B10" i="2" s="1"/>
  <c r="B12" i="2" s="1"/>
  <c r="B13" i="2" s="1"/>
  <c r="B5" i="2"/>
  <c r="T223" i="1" l="1"/>
  <c r="T222" i="1"/>
  <c r="T221" i="1"/>
  <c r="T220" i="1"/>
  <c r="T219" i="1"/>
  <c r="T218" i="1"/>
  <c r="T217" i="1"/>
  <c r="T216" i="1"/>
  <c r="T215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R202" i="1"/>
  <c r="S167" i="1"/>
  <c r="T167" i="1" s="1"/>
  <c r="C28" i="3" s="1"/>
  <c r="S166" i="1"/>
  <c r="T166" i="1" s="1"/>
  <c r="C27" i="3" s="1"/>
  <c r="S165" i="1"/>
  <c r="T165" i="1" s="1"/>
  <c r="C26" i="3" s="1"/>
  <c r="S164" i="1"/>
  <c r="T164" i="1" s="1"/>
  <c r="C24" i="3" s="1"/>
  <c r="S163" i="1"/>
  <c r="T163" i="1" s="1"/>
  <c r="C23" i="3" s="1"/>
  <c r="S162" i="1"/>
  <c r="T162" i="1" s="1"/>
  <c r="C22" i="3" s="1"/>
  <c r="T161" i="1"/>
  <c r="C20" i="3" s="1"/>
  <c r="S161" i="1"/>
  <c r="S160" i="1"/>
  <c r="T160" i="1" s="1"/>
  <c r="C19" i="3" s="1"/>
  <c r="T159" i="1"/>
  <c r="C18" i="3" s="1"/>
  <c r="S159" i="1"/>
  <c r="S157" i="1"/>
  <c r="T157" i="1" s="1"/>
  <c r="C16" i="3" s="1"/>
  <c r="T156" i="1"/>
  <c r="C15" i="3" s="1"/>
  <c r="S156" i="1"/>
  <c r="T155" i="1"/>
  <c r="C14" i="3" s="1"/>
  <c r="S155" i="1"/>
  <c r="S154" i="1"/>
  <c r="T154" i="1" s="1"/>
  <c r="C12" i="3" s="1"/>
  <c r="S153" i="1"/>
  <c r="T153" i="1" s="1"/>
  <c r="C11" i="3" s="1"/>
  <c r="S152" i="1"/>
  <c r="T152" i="1" s="1"/>
  <c r="C10" i="3" s="1"/>
  <c r="T151" i="1"/>
  <c r="C8" i="3" s="1"/>
  <c r="S151" i="1"/>
  <c r="S150" i="1"/>
  <c r="T150" i="1" s="1"/>
  <c r="C7" i="3" s="1"/>
  <c r="S149" i="1"/>
  <c r="T149" i="1" s="1"/>
  <c r="C6" i="3" s="1"/>
  <c r="S148" i="1"/>
  <c r="T148" i="1" s="1"/>
  <c r="C4" i="3" s="1"/>
  <c r="T147" i="1"/>
  <c r="C3" i="3" s="1"/>
  <c r="S147" i="1"/>
  <c r="T92" i="1"/>
  <c r="T93" i="1"/>
  <c r="T94" i="1"/>
  <c r="T95" i="1"/>
  <c r="T96" i="1"/>
  <c r="T97" i="1"/>
  <c r="T98" i="1"/>
  <c r="T99" i="1"/>
  <c r="T100" i="1"/>
  <c r="T101" i="1"/>
  <c r="T103" i="1"/>
  <c r="T104" i="1"/>
  <c r="T105" i="1"/>
  <c r="T106" i="1"/>
  <c r="T107" i="1"/>
  <c r="T108" i="1"/>
  <c r="T109" i="1"/>
  <c r="T110" i="1"/>
  <c r="T111" i="1"/>
  <c r="T91" i="1"/>
  <c r="R90" i="1"/>
  <c r="T90" i="1" s="1"/>
  <c r="T36" i="1"/>
  <c r="B4" i="3" s="1"/>
  <c r="T41" i="1"/>
  <c r="B11" i="3" s="1"/>
  <c r="T42" i="1"/>
  <c r="B12" i="3" s="1"/>
  <c r="T43" i="1"/>
  <c r="B14" i="3" s="1"/>
  <c r="T44" i="1"/>
  <c r="B15" i="3" s="1"/>
  <c r="T50" i="1"/>
  <c r="B22" i="3" s="1"/>
  <c r="T51" i="1"/>
  <c r="B23" i="3" s="1"/>
  <c r="T52" i="1"/>
  <c r="B24" i="3" s="1"/>
  <c r="T53" i="1"/>
  <c r="B26" i="3" s="1"/>
  <c r="S36" i="1"/>
  <c r="S37" i="1"/>
  <c r="T37" i="1" s="1"/>
  <c r="B6" i="3" s="1"/>
  <c r="S38" i="1"/>
  <c r="T38" i="1" s="1"/>
  <c r="B7" i="3" s="1"/>
  <c r="S39" i="1"/>
  <c r="T39" i="1" s="1"/>
  <c r="B8" i="3" s="1"/>
  <c r="S40" i="1"/>
  <c r="T40" i="1" s="1"/>
  <c r="B10" i="3" s="1"/>
  <c r="S41" i="1"/>
  <c r="S42" i="1"/>
  <c r="S43" i="1"/>
  <c r="S44" i="1"/>
  <c r="S45" i="1"/>
  <c r="T45" i="1" s="1"/>
  <c r="B16" i="3" s="1"/>
  <c r="S47" i="1"/>
  <c r="T47" i="1" s="1"/>
  <c r="B18" i="3" s="1"/>
  <c r="S48" i="1"/>
  <c r="T48" i="1" s="1"/>
  <c r="B19" i="3" s="1"/>
  <c r="S49" i="1"/>
  <c r="T49" i="1" s="1"/>
  <c r="B20" i="3" s="1"/>
  <c r="S50" i="1"/>
  <c r="S51" i="1"/>
  <c r="S52" i="1"/>
  <c r="S53" i="1"/>
  <c r="S54" i="1"/>
  <c r="T54" i="1" s="1"/>
  <c r="B27" i="3" s="1"/>
  <c r="S55" i="1"/>
  <c r="T55" i="1" s="1"/>
  <c r="B28" i="3" s="1"/>
  <c r="S35" i="1"/>
  <c r="T35" i="1" s="1"/>
</calcChain>
</file>

<file path=xl/sharedStrings.xml><?xml version="1.0" encoding="utf-8"?>
<sst xmlns="http://schemas.openxmlformats.org/spreadsheetml/2006/main" count="679" uniqueCount="141">
  <si>
    <t xml:space="preserve">Quantify Compound Summary Report </t>
  </si>
  <si>
    <t>Printed Wed Feb 11 14:03:40 2026</t>
  </si>
  <si>
    <t>Compound 1:  epoxiconazole</t>
  </si>
  <si>
    <t>Name</t>
  </si>
  <si>
    <t>Sample Text</t>
  </si>
  <si>
    <t>RT</t>
  </si>
  <si>
    <t>Type</t>
  </si>
  <si>
    <t>%Dev</t>
  </si>
  <si>
    <t>Primary Flags</t>
  </si>
  <si>
    <t>ng/l</t>
  </si>
  <si>
    <t>Area</t>
  </si>
  <si>
    <t>IS Area</t>
  </si>
  <si>
    <t>Response</t>
  </si>
  <si>
    <t>1ｺ Area</t>
  </si>
  <si>
    <t>S/N</t>
  </si>
  <si>
    <t>1ｺ Ratio (Actual)</t>
  </si>
  <si>
    <t>260210_gamme_A_1</t>
  </si>
  <si>
    <t>Standard</t>
  </si>
  <si>
    <t>bb</t>
  </si>
  <si>
    <t>260210_gamme_A_1bis</t>
  </si>
  <si>
    <t>260210_gamme_A_2</t>
  </si>
  <si>
    <t>260210_gamme_A_2bis</t>
  </si>
  <si>
    <t>260210_gamme_A_3</t>
  </si>
  <si>
    <t>260210_gamme_A_4</t>
  </si>
  <si>
    <t>260210_gamme_A_5</t>
  </si>
  <si>
    <t>260210_gamme_A_6</t>
  </si>
  <si>
    <t>bbX</t>
  </si>
  <si>
    <t>260210_gamme_A_7</t>
  </si>
  <si>
    <t>bbXIO</t>
  </si>
  <si>
    <t>260210_gamme_A_7bis</t>
  </si>
  <si>
    <t>260210_gamme_A_8</t>
  </si>
  <si>
    <t>260210_gamme_B_1</t>
  </si>
  <si>
    <t>260210_gamme_B_1bis</t>
  </si>
  <si>
    <t>260210_gamme_B_2</t>
  </si>
  <si>
    <t>260210_gamme_B_2bis</t>
  </si>
  <si>
    <t>260210_gamme_B_3</t>
  </si>
  <si>
    <t>260210_gamme_B_4</t>
  </si>
  <si>
    <t>260210_gamme_B_5</t>
  </si>
  <si>
    <t>260210_gamme_B_6</t>
  </si>
  <si>
    <t>260210_gamme_B_7</t>
  </si>
  <si>
    <t>260210_gamme_B_7bis</t>
  </si>
  <si>
    <t>260210_gamme_B_8</t>
  </si>
  <si>
    <t>260210_MeOH_1</t>
  </si>
  <si>
    <t>260210_MeOH_2</t>
  </si>
  <si>
    <t>260210_blanc_1</t>
  </si>
  <si>
    <t>260210_blanc_2</t>
  </si>
  <si>
    <t>260210_Si_vdt_dil</t>
  </si>
  <si>
    <t>260210_vdt_N0_1_dil20</t>
  </si>
  <si>
    <t>tube 19</t>
  </si>
  <si>
    <t>260210_vdt_N0_2_dil20</t>
  </si>
  <si>
    <t>tube 20</t>
  </si>
  <si>
    <t>260210_epx_J0_25_1</t>
  </si>
  <si>
    <t>tube 1</t>
  </si>
  <si>
    <t>260210_epx_J0_25_2</t>
  </si>
  <si>
    <t>tube 2</t>
  </si>
  <si>
    <t>260210_epx_J0_25_3</t>
  </si>
  <si>
    <t>tube3</t>
  </si>
  <si>
    <t>260210_epx_J1_1</t>
  </si>
  <si>
    <t>tube 4</t>
  </si>
  <si>
    <t>260210_epx_J1_2</t>
  </si>
  <si>
    <t>tube 5</t>
  </si>
  <si>
    <t>260210_epx_J1_3</t>
  </si>
  <si>
    <t>tube 6</t>
  </si>
  <si>
    <t>260210_epx_J3_1</t>
  </si>
  <si>
    <t>tube 7</t>
  </si>
  <si>
    <t>260210_epx_J3_2</t>
  </si>
  <si>
    <t>tube 8</t>
  </si>
  <si>
    <t>260210_epx_J3_3</t>
  </si>
  <si>
    <t>tube 9</t>
  </si>
  <si>
    <t>260210_blanc_eau</t>
  </si>
  <si>
    <t>260210_imd_J3_1</t>
  </si>
  <si>
    <t>tube 10</t>
  </si>
  <si>
    <t>260210_imd_J3_2</t>
  </si>
  <si>
    <t>tube 11</t>
  </si>
  <si>
    <t>260210_imd_J3_3</t>
  </si>
  <si>
    <t>tube 12</t>
  </si>
  <si>
    <t>260210_imd_J7_1</t>
  </si>
  <si>
    <t>tube 13</t>
  </si>
  <si>
    <t>260210_imd_J7_2</t>
  </si>
  <si>
    <t>tube 14</t>
  </si>
  <si>
    <t>260210_imd_J7_3</t>
  </si>
  <si>
    <t>tube 15</t>
  </si>
  <si>
    <t>260210_imd_J14_1</t>
  </si>
  <si>
    <t>tube 16</t>
  </si>
  <si>
    <t>260210_imd_J14_2</t>
  </si>
  <si>
    <t>tube 17</t>
  </si>
  <si>
    <t>260210_imd_J14_3</t>
  </si>
  <si>
    <t>tube 18</t>
  </si>
  <si>
    <t>260210_MeOH_3</t>
  </si>
  <si>
    <t>260210_MeOH_4</t>
  </si>
  <si>
    <t>260210_blanc_3</t>
  </si>
  <si>
    <t>260210_blanc_4</t>
  </si>
  <si>
    <t>Compound 2:  epoxiconazole-d5</t>
  </si>
  <si>
    <t>MM</t>
  </si>
  <si>
    <t>Compound 3:  Imidaclopride</t>
  </si>
  <si>
    <t>Compound 4:  Imidaclopride-d4</t>
  </si>
  <si>
    <t>Std, Conc</t>
  </si>
  <si>
    <t>dilution</t>
  </si>
  <si>
    <t>pe en g</t>
  </si>
  <si>
    <t>quantité ng</t>
  </si>
  <si>
    <t>ng/g de vdt</t>
  </si>
  <si>
    <t>effet mémoire, aire similaire blancs précédents</t>
  </si>
  <si>
    <t>cc µl/l SI-std</t>
  </si>
  <si>
    <t>cc théorique</t>
  </si>
  <si>
    <t>rdt %</t>
  </si>
  <si>
    <t>Données</t>
  </si>
  <si>
    <t>Valeur</t>
  </si>
  <si>
    <t>extraction 1</t>
  </si>
  <si>
    <t>V acn ajouté ml</t>
  </si>
  <si>
    <t>V acn récupéré ml</t>
  </si>
  <si>
    <t>% récupéré</t>
  </si>
  <si>
    <t>extraction 2</t>
  </si>
  <si>
    <t>V acn restant de 1</t>
  </si>
  <si>
    <t>V acn récupéré</t>
  </si>
  <si>
    <t xml:space="preserve">% récupéré </t>
  </si>
  <si>
    <t>V extrait (1+2) ml</t>
  </si>
  <si>
    <t>% récupéré e1 + e2</t>
  </si>
  <si>
    <t>facteur de correction pour 100 %</t>
  </si>
  <si>
    <t>ng/g de vers de terre frais</t>
  </si>
  <si>
    <t>Epoxiconazole</t>
  </si>
  <si>
    <t>Imidaclopride</t>
  </si>
  <si>
    <t xml:space="preserve"> epx_J0_25_1</t>
  </si>
  <si>
    <t xml:space="preserve"> epx_J0_25_2</t>
  </si>
  <si>
    <t xml:space="preserve"> epx_J0_25_3</t>
  </si>
  <si>
    <t xml:space="preserve"> epx_J1_1</t>
  </si>
  <si>
    <t xml:space="preserve"> epx_J1_2</t>
  </si>
  <si>
    <t xml:space="preserve"> epx_J1_3</t>
  </si>
  <si>
    <t xml:space="preserve"> epx_J3_1</t>
  </si>
  <si>
    <t xml:space="preserve"> epx_J3_2</t>
  </si>
  <si>
    <t xml:space="preserve"> epx_J3_3</t>
  </si>
  <si>
    <t xml:space="preserve"> imd_J3_1</t>
  </si>
  <si>
    <t xml:space="preserve"> imd_J3_2</t>
  </si>
  <si>
    <t xml:space="preserve"> imd_J3_3</t>
  </si>
  <si>
    <t xml:space="preserve"> imd_J7_1</t>
  </si>
  <si>
    <t xml:space="preserve"> imd_J7_2</t>
  </si>
  <si>
    <t xml:space="preserve"> imd_J7_3</t>
  </si>
  <si>
    <t xml:space="preserve"> imd_J14_1</t>
  </si>
  <si>
    <t xml:space="preserve"> imd_J14_2</t>
  </si>
  <si>
    <t xml:space="preserve"> imd_J14_3</t>
  </si>
  <si>
    <t xml:space="preserve"> vdt_N0_1</t>
  </si>
  <si>
    <t xml:space="preserve"> vdt_N0_2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</si>
</sst>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4" fontId="0" fillId="0" borderId="0" xfId="0" applyNumberFormat="1"/>
    <xf numFmtId="3" fontId="0" fillId="0" borderId="0" xfId="0" applyNumberFormat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33" borderId="0" xfId="0" applyFill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J31" sqref="J31"/>
    </sheetView>
  </sheetViews>
  <sheetFormatPr baseColWidth="10" defaultRowHeight="14.5" x14ac:dyDescent="0.35"/>
  <cols>
    <col min="1" max="1" width="28.453125" bestFit="1" customWidth="1"/>
  </cols>
  <sheetData>
    <row r="1" spans="1:2" x14ac:dyDescent="0.35">
      <c r="A1" t="s">
        <v>105</v>
      </c>
      <c r="B1" s="1" t="s">
        <v>106</v>
      </c>
    </row>
    <row r="2" spans="1:2" x14ac:dyDescent="0.35">
      <c r="A2" t="s">
        <v>107</v>
      </c>
      <c r="B2" s="1"/>
    </row>
    <row r="3" spans="1:2" x14ac:dyDescent="0.35">
      <c r="A3" t="s">
        <v>108</v>
      </c>
      <c r="B3" s="1">
        <v>5</v>
      </c>
    </row>
    <row r="4" spans="1:2" x14ac:dyDescent="0.35">
      <c r="A4" t="s">
        <v>109</v>
      </c>
      <c r="B4" s="1">
        <v>3</v>
      </c>
    </row>
    <row r="5" spans="1:2" x14ac:dyDescent="0.35">
      <c r="A5" t="s">
        <v>110</v>
      </c>
      <c r="B5" s="7">
        <f>B4*100/B3</f>
        <v>60</v>
      </c>
    </row>
    <row r="6" spans="1:2" x14ac:dyDescent="0.35">
      <c r="A6" t="s">
        <v>111</v>
      </c>
      <c r="B6" s="1"/>
    </row>
    <row r="7" spans="1:2" x14ac:dyDescent="0.35">
      <c r="A7" t="s">
        <v>112</v>
      </c>
      <c r="B7" s="1">
        <f>B3-B4</f>
        <v>2</v>
      </c>
    </row>
    <row r="8" spans="1:2" x14ac:dyDescent="0.35">
      <c r="A8" t="s">
        <v>108</v>
      </c>
      <c r="B8" s="1">
        <v>5</v>
      </c>
    </row>
    <row r="9" spans="1:2" x14ac:dyDescent="0.35">
      <c r="A9" t="s">
        <v>113</v>
      </c>
      <c r="B9" s="1">
        <v>3</v>
      </c>
    </row>
    <row r="10" spans="1:2" x14ac:dyDescent="0.35">
      <c r="A10" t="s">
        <v>114</v>
      </c>
      <c r="B10" s="6">
        <f>((B3-B4)/B3)*B9*100/(B8+B7)</f>
        <v>17.142857142857146</v>
      </c>
    </row>
    <row r="11" spans="1:2" x14ac:dyDescent="0.35">
      <c r="A11" t="s">
        <v>115</v>
      </c>
      <c r="B11" s="1">
        <f>B9+B4</f>
        <v>6</v>
      </c>
    </row>
    <row r="12" spans="1:2" x14ac:dyDescent="0.35">
      <c r="A12" t="s">
        <v>116</v>
      </c>
      <c r="B12" s="6">
        <f>B5+B10</f>
        <v>77.142857142857139</v>
      </c>
    </row>
    <row r="13" spans="1:2" x14ac:dyDescent="0.35">
      <c r="A13" t="s">
        <v>117</v>
      </c>
      <c r="B13" s="5">
        <f>100/B12</f>
        <v>1.2962962962962963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27"/>
  <sheetViews>
    <sheetView topLeftCell="A16" zoomScale="90" zoomScaleNormal="90" workbookViewId="0">
      <selection activeCell="B35" sqref="B35:B55"/>
    </sheetView>
  </sheetViews>
  <sheetFormatPr baseColWidth="10" defaultRowHeight="14.5" x14ac:dyDescent="0.35"/>
  <cols>
    <col min="1" max="1" width="3.36328125" customWidth="1"/>
    <col min="2" max="2" width="23.1796875" customWidth="1"/>
    <col min="3" max="3" width="7.81640625" customWidth="1"/>
    <col min="4" max="4" width="5.7265625" customWidth="1"/>
    <col min="8" max="8" width="6.08984375" customWidth="1"/>
    <col min="9" max="9" width="10.90625" style="2"/>
    <col min="10" max="10" width="12.1796875" style="4" bestFit="1" customWidth="1"/>
    <col min="11" max="11" width="11.1796875" style="4" bestFit="1" customWidth="1"/>
    <col min="12" max="12" width="15.1796875" style="3" customWidth="1"/>
    <col min="13" max="13" width="12.1796875" style="4" bestFit="1" customWidth="1"/>
    <col min="16" max="16" width="3" customWidth="1"/>
    <col min="17" max="18" width="10.90625" style="1"/>
    <col min="19" max="19" width="10.90625" style="5"/>
    <col min="20" max="20" width="10.90625" style="6"/>
  </cols>
  <sheetData>
    <row r="1" spans="1:15" x14ac:dyDescent="0.35">
      <c r="A1" t="s">
        <v>0</v>
      </c>
    </row>
    <row r="3" spans="1:15" x14ac:dyDescent="0.35">
      <c r="A3" t="s">
        <v>1</v>
      </c>
    </row>
    <row r="5" spans="1:15" x14ac:dyDescent="0.35">
      <c r="A5" t="s">
        <v>2</v>
      </c>
    </row>
    <row r="7" spans="1:15" x14ac:dyDescent="0.35">
      <c r="B7" t="s">
        <v>3</v>
      </c>
      <c r="C7" t="s">
        <v>4</v>
      </c>
      <c r="D7" t="s">
        <v>5</v>
      </c>
      <c r="E7" t="s">
        <v>6</v>
      </c>
      <c r="F7" t="s">
        <v>96</v>
      </c>
      <c r="G7" t="s">
        <v>7</v>
      </c>
      <c r="H7" t="s">
        <v>8</v>
      </c>
      <c r="I7" s="2" t="s">
        <v>9</v>
      </c>
      <c r="J7" s="4" t="s">
        <v>10</v>
      </c>
      <c r="K7" s="4" t="s">
        <v>11</v>
      </c>
      <c r="L7" s="3" t="s">
        <v>12</v>
      </c>
      <c r="M7" s="4" t="s">
        <v>13</v>
      </c>
      <c r="N7" t="s">
        <v>14</v>
      </c>
      <c r="O7" t="s">
        <v>15</v>
      </c>
    </row>
    <row r="8" spans="1:15" x14ac:dyDescent="0.35">
      <c r="A8">
        <v>1</v>
      </c>
      <c r="B8" t="s">
        <v>16</v>
      </c>
      <c r="D8">
        <v>10.19</v>
      </c>
      <c r="E8" t="s">
        <v>17</v>
      </c>
      <c r="F8">
        <v>4.05</v>
      </c>
      <c r="G8">
        <v>-0.9</v>
      </c>
      <c r="H8" t="s">
        <v>18</v>
      </c>
      <c r="I8" s="2">
        <v>4.0140000000000002</v>
      </c>
      <c r="J8" s="4">
        <v>102350</v>
      </c>
      <c r="K8" s="4">
        <v>3165509</v>
      </c>
      <c r="L8" s="3">
        <v>5.87</v>
      </c>
      <c r="M8" s="4">
        <v>23534</v>
      </c>
      <c r="N8">
        <v>3108.5</v>
      </c>
      <c r="O8">
        <v>4.3499999999999996</v>
      </c>
    </row>
    <row r="9" spans="1:15" x14ac:dyDescent="0.35">
      <c r="A9">
        <v>2</v>
      </c>
      <c r="B9" t="s">
        <v>19</v>
      </c>
      <c r="D9">
        <v>10.19</v>
      </c>
      <c r="E9" t="s">
        <v>17</v>
      </c>
      <c r="F9">
        <v>4.05</v>
      </c>
      <c r="G9">
        <v>-0.7</v>
      </c>
      <c r="H9" t="s">
        <v>18</v>
      </c>
      <c r="I9" s="2">
        <v>4.0209999999999999</v>
      </c>
      <c r="J9" s="4">
        <v>100124</v>
      </c>
      <c r="K9" s="4">
        <v>3090725</v>
      </c>
      <c r="L9" s="3">
        <v>5.88</v>
      </c>
      <c r="M9" s="4">
        <v>23033</v>
      </c>
      <c r="N9">
        <v>2934.9</v>
      </c>
      <c r="O9">
        <v>4.3499999999999996</v>
      </c>
    </row>
    <row r="10" spans="1:15" x14ac:dyDescent="0.35">
      <c r="A10">
        <v>3</v>
      </c>
      <c r="B10" t="s">
        <v>20</v>
      </c>
      <c r="D10">
        <v>10.19</v>
      </c>
      <c r="E10" t="s">
        <v>17</v>
      </c>
      <c r="F10">
        <v>14.17</v>
      </c>
      <c r="G10">
        <v>-6.2</v>
      </c>
      <c r="H10" t="s">
        <v>18</v>
      </c>
      <c r="I10" s="2">
        <v>13.297000000000001</v>
      </c>
      <c r="J10" s="4">
        <v>346750</v>
      </c>
      <c r="K10" s="4">
        <v>3127273</v>
      </c>
      <c r="L10" s="3">
        <v>20.14</v>
      </c>
      <c r="M10" s="4">
        <v>73109</v>
      </c>
      <c r="N10">
        <v>6659</v>
      </c>
      <c r="O10">
        <v>4.74</v>
      </c>
    </row>
    <row r="11" spans="1:15" x14ac:dyDescent="0.35">
      <c r="A11">
        <v>4</v>
      </c>
      <c r="B11" t="s">
        <v>21</v>
      </c>
      <c r="D11">
        <v>10.19</v>
      </c>
      <c r="E11" t="s">
        <v>17</v>
      </c>
      <c r="F11">
        <v>14.17</v>
      </c>
      <c r="G11">
        <v>-5.3</v>
      </c>
      <c r="H11" t="s">
        <v>18</v>
      </c>
      <c r="I11" s="2">
        <v>13.413</v>
      </c>
      <c r="J11" s="4">
        <v>342950</v>
      </c>
      <c r="K11" s="4">
        <v>3065920</v>
      </c>
      <c r="L11" s="3">
        <v>20.32</v>
      </c>
      <c r="M11" s="4">
        <v>72428</v>
      </c>
      <c r="N11">
        <v>29573.9</v>
      </c>
      <c r="O11">
        <v>4.74</v>
      </c>
    </row>
    <row r="12" spans="1:15" x14ac:dyDescent="0.35">
      <c r="A12">
        <v>5</v>
      </c>
      <c r="B12" t="s">
        <v>22</v>
      </c>
      <c r="D12">
        <v>10.19</v>
      </c>
      <c r="E12" t="s">
        <v>17</v>
      </c>
      <c r="F12">
        <v>80.959999999999994</v>
      </c>
      <c r="G12">
        <v>-6</v>
      </c>
      <c r="H12" t="s">
        <v>18</v>
      </c>
      <c r="I12" s="2">
        <v>76.102999999999994</v>
      </c>
      <c r="J12" s="4">
        <v>1945709</v>
      </c>
      <c r="K12" s="4">
        <v>3057340</v>
      </c>
      <c r="L12" s="3">
        <v>115.61</v>
      </c>
      <c r="M12" s="4">
        <v>394252</v>
      </c>
      <c r="N12">
        <v>106029.8</v>
      </c>
      <c r="O12">
        <v>4.9400000000000004</v>
      </c>
    </row>
    <row r="13" spans="1:15" x14ac:dyDescent="0.35">
      <c r="A13">
        <v>6</v>
      </c>
      <c r="B13" t="s">
        <v>23</v>
      </c>
      <c r="D13">
        <v>10.19</v>
      </c>
      <c r="E13" t="s">
        <v>17</v>
      </c>
      <c r="F13">
        <v>161.91999999999999</v>
      </c>
      <c r="G13">
        <v>2.2999999999999998</v>
      </c>
      <c r="H13" t="s">
        <v>18</v>
      </c>
      <c r="I13" s="2">
        <v>165.571</v>
      </c>
      <c r="J13" s="4">
        <v>3977777</v>
      </c>
      <c r="K13" s="4">
        <v>2909259</v>
      </c>
      <c r="L13" s="3">
        <v>248.38</v>
      </c>
      <c r="M13" s="4">
        <v>808082</v>
      </c>
      <c r="N13">
        <v>71977.8</v>
      </c>
      <c r="O13">
        <v>4.92</v>
      </c>
    </row>
    <row r="14" spans="1:15" x14ac:dyDescent="0.35">
      <c r="A14">
        <v>7</v>
      </c>
      <c r="B14" t="s">
        <v>24</v>
      </c>
      <c r="D14">
        <v>10.19</v>
      </c>
      <c r="E14" t="s">
        <v>17</v>
      </c>
      <c r="F14">
        <v>404.8</v>
      </c>
      <c r="G14">
        <v>-0.5</v>
      </c>
      <c r="H14" t="s">
        <v>18</v>
      </c>
      <c r="I14" s="2">
        <v>402.64</v>
      </c>
      <c r="J14" s="4">
        <v>9664033</v>
      </c>
      <c r="K14" s="4">
        <v>3017027</v>
      </c>
      <c r="L14" s="3">
        <v>581.89</v>
      </c>
      <c r="M14" s="4">
        <v>1964989</v>
      </c>
      <c r="N14">
        <v>424902</v>
      </c>
      <c r="O14">
        <v>4.92</v>
      </c>
    </row>
    <row r="15" spans="1:15" x14ac:dyDescent="0.35">
      <c r="A15">
        <v>8</v>
      </c>
      <c r="B15" t="s">
        <v>25</v>
      </c>
      <c r="D15">
        <v>10.199999999999999</v>
      </c>
      <c r="E15" t="s">
        <v>17</v>
      </c>
      <c r="F15">
        <v>1012</v>
      </c>
      <c r="G15">
        <v>2.5</v>
      </c>
      <c r="H15" t="s">
        <v>26</v>
      </c>
      <c r="I15" s="2">
        <v>1037.51</v>
      </c>
      <c r="J15" s="4">
        <v>22871402</v>
      </c>
      <c r="K15" s="4">
        <v>3091126</v>
      </c>
      <c r="L15" s="3">
        <v>1344.11</v>
      </c>
      <c r="M15" s="4">
        <v>4695053</v>
      </c>
      <c r="N15">
        <v>158188.9</v>
      </c>
      <c r="O15">
        <v>4.87</v>
      </c>
    </row>
    <row r="16" spans="1:15" x14ac:dyDescent="0.35">
      <c r="A16">
        <v>9</v>
      </c>
      <c r="B16" t="s">
        <v>27</v>
      </c>
      <c r="D16">
        <v>10.199999999999999</v>
      </c>
      <c r="E16" t="s">
        <v>17</v>
      </c>
      <c r="F16">
        <v>3036</v>
      </c>
      <c r="H16" t="s">
        <v>28</v>
      </c>
      <c r="J16" s="4">
        <v>53880528</v>
      </c>
      <c r="K16" s="4">
        <v>2946528</v>
      </c>
      <c r="L16" s="3">
        <v>3321.85</v>
      </c>
      <c r="M16" s="4">
        <v>11496235</v>
      </c>
      <c r="N16">
        <v>2022101.9</v>
      </c>
      <c r="O16">
        <v>4.6900000000000004</v>
      </c>
    </row>
    <row r="17" spans="1:15" x14ac:dyDescent="0.35">
      <c r="A17">
        <v>10</v>
      </c>
      <c r="B17" t="s">
        <v>29</v>
      </c>
      <c r="D17">
        <v>10.199999999999999</v>
      </c>
      <c r="E17" t="s">
        <v>17</v>
      </c>
      <c r="F17">
        <v>3036</v>
      </c>
      <c r="H17" t="s">
        <v>28</v>
      </c>
      <c r="J17" s="4">
        <v>53129568</v>
      </c>
      <c r="K17" s="4">
        <v>2865609</v>
      </c>
      <c r="L17" s="3">
        <v>3368.05</v>
      </c>
      <c r="M17" s="4">
        <v>11255809</v>
      </c>
      <c r="N17">
        <v>754153088</v>
      </c>
      <c r="O17">
        <v>4.72</v>
      </c>
    </row>
    <row r="18" spans="1:15" x14ac:dyDescent="0.35">
      <c r="A18">
        <v>11</v>
      </c>
      <c r="B18" t="s">
        <v>30</v>
      </c>
      <c r="D18">
        <v>10.199999999999999</v>
      </c>
      <c r="E18" t="s">
        <v>17</v>
      </c>
      <c r="F18">
        <v>5060</v>
      </c>
      <c r="H18" t="s">
        <v>28</v>
      </c>
      <c r="J18" s="4">
        <v>75603280</v>
      </c>
      <c r="K18" s="4">
        <v>2740289</v>
      </c>
      <c r="L18" s="3">
        <v>5011.91</v>
      </c>
      <c r="M18" s="4">
        <v>16643956</v>
      </c>
      <c r="N18">
        <v>1041403712</v>
      </c>
      <c r="O18">
        <v>4.54</v>
      </c>
    </row>
    <row r="19" spans="1:15" x14ac:dyDescent="0.35">
      <c r="A19">
        <v>42</v>
      </c>
      <c r="B19" t="s">
        <v>31</v>
      </c>
      <c r="D19">
        <v>10.19</v>
      </c>
      <c r="E19" t="s">
        <v>17</v>
      </c>
      <c r="F19">
        <v>4.05</v>
      </c>
      <c r="G19">
        <v>5</v>
      </c>
      <c r="H19" t="s">
        <v>18</v>
      </c>
      <c r="I19" s="2">
        <v>4.2539999999999996</v>
      </c>
      <c r="J19" s="4">
        <v>110340</v>
      </c>
      <c r="K19" s="4">
        <v>3210772</v>
      </c>
      <c r="L19" s="3">
        <v>6.24</v>
      </c>
      <c r="M19" s="4">
        <v>25319</v>
      </c>
      <c r="N19">
        <v>5858.8</v>
      </c>
      <c r="O19">
        <v>4.3600000000000003</v>
      </c>
    </row>
    <row r="20" spans="1:15" x14ac:dyDescent="0.35">
      <c r="A20">
        <v>43</v>
      </c>
      <c r="B20" t="s">
        <v>32</v>
      </c>
      <c r="D20">
        <v>10.19</v>
      </c>
      <c r="E20" t="s">
        <v>17</v>
      </c>
      <c r="F20">
        <v>4.05</v>
      </c>
      <c r="G20">
        <v>4.2</v>
      </c>
      <c r="H20" t="s">
        <v>18</v>
      </c>
      <c r="I20" s="2">
        <v>4.2190000000000003</v>
      </c>
      <c r="J20" s="4">
        <v>108842</v>
      </c>
      <c r="K20" s="4">
        <v>3194451</v>
      </c>
      <c r="L20" s="3">
        <v>6.19</v>
      </c>
      <c r="M20" s="4">
        <v>24712</v>
      </c>
      <c r="N20">
        <v>2972.1</v>
      </c>
      <c r="O20">
        <v>4.4000000000000004</v>
      </c>
    </row>
    <row r="21" spans="1:15" x14ac:dyDescent="0.35">
      <c r="A21">
        <v>44</v>
      </c>
      <c r="B21" t="s">
        <v>33</v>
      </c>
      <c r="D21">
        <v>10.19</v>
      </c>
      <c r="E21" t="s">
        <v>17</v>
      </c>
      <c r="F21">
        <v>14.17</v>
      </c>
      <c r="G21">
        <v>2</v>
      </c>
      <c r="H21" t="s">
        <v>18</v>
      </c>
      <c r="I21" s="2">
        <v>14.456</v>
      </c>
      <c r="J21" s="4">
        <v>375250</v>
      </c>
      <c r="K21" s="4">
        <v>3109684</v>
      </c>
      <c r="L21" s="3">
        <v>21.92</v>
      </c>
      <c r="M21" s="4">
        <v>77940</v>
      </c>
      <c r="N21">
        <v>17405.2</v>
      </c>
      <c r="O21">
        <v>4.8099999999999996</v>
      </c>
    </row>
    <row r="22" spans="1:15" x14ac:dyDescent="0.35">
      <c r="A22">
        <v>45</v>
      </c>
      <c r="B22" t="s">
        <v>34</v>
      </c>
      <c r="D22">
        <v>10.19</v>
      </c>
      <c r="E22" t="s">
        <v>17</v>
      </c>
      <c r="F22">
        <v>14.17</v>
      </c>
      <c r="G22">
        <v>4.2</v>
      </c>
      <c r="H22" t="s">
        <v>18</v>
      </c>
      <c r="I22" s="2">
        <v>14.760999999999999</v>
      </c>
      <c r="J22" s="4">
        <v>374016</v>
      </c>
      <c r="K22" s="4">
        <v>3034616</v>
      </c>
      <c r="L22" s="3">
        <v>22.39</v>
      </c>
      <c r="M22" s="4">
        <v>77657</v>
      </c>
      <c r="N22">
        <v>8713.6</v>
      </c>
      <c r="O22">
        <v>4.82</v>
      </c>
    </row>
    <row r="23" spans="1:15" x14ac:dyDescent="0.35">
      <c r="A23">
        <v>46</v>
      </c>
      <c r="B23" t="s">
        <v>35</v>
      </c>
      <c r="D23">
        <v>10.199999999999999</v>
      </c>
      <c r="E23" t="s">
        <v>17</v>
      </c>
      <c r="F23">
        <v>80.959999999999994</v>
      </c>
      <c r="G23">
        <v>-0.8</v>
      </c>
      <c r="H23" t="s">
        <v>18</v>
      </c>
      <c r="I23" s="2">
        <v>80.3</v>
      </c>
      <c r="J23" s="4">
        <v>2094972</v>
      </c>
      <c r="K23" s="4">
        <v>3121440</v>
      </c>
      <c r="L23" s="3">
        <v>121.92</v>
      </c>
      <c r="M23" s="4">
        <v>422836</v>
      </c>
      <c r="N23">
        <v>84709.1</v>
      </c>
      <c r="O23">
        <v>4.95</v>
      </c>
    </row>
    <row r="24" spans="1:15" x14ac:dyDescent="0.35">
      <c r="A24">
        <v>47</v>
      </c>
      <c r="B24" t="s">
        <v>36</v>
      </c>
      <c r="D24">
        <v>10.19</v>
      </c>
      <c r="E24" t="s">
        <v>17</v>
      </c>
      <c r="F24">
        <v>161.91999999999999</v>
      </c>
      <c r="G24">
        <v>2.9</v>
      </c>
      <c r="H24" t="s">
        <v>18</v>
      </c>
      <c r="I24" s="2">
        <v>166.56299999999999</v>
      </c>
      <c r="J24" s="4">
        <v>4338262</v>
      </c>
      <c r="K24" s="4">
        <v>3154491</v>
      </c>
      <c r="L24" s="3">
        <v>249.83</v>
      </c>
      <c r="M24" s="4">
        <v>870006</v>
      </c>
      <c r="N24">
        <v>369307.7</v>
      </c>
      <c r="O24">
        <v>4.99</v>
      </c>
    </row>
    <row r="25" spans="1:15" x14ac:dyDescent="0.35">
      <c r="A25">
        <v>48</v>
      </c>
      <c r="B25" t="s">
        <v>37</v>
      </c>
      <c r="D25">
        <v>10.19</v>
      </c>
      <c r="E25" t="s">
        <v>17</v>
      </c>
      <c r="F25">
        <v>404.8</v>
      </c>
      <c r="G25">
        <v>0</v>
      </c>
      <c r="H25" t="s">
        <v>18</v>
      </c>
      <c r="I25" s="2">
        <v>404.61900000000003</v>
      </c>
      <c r="J25" s="4">
        <v>10393703</v>
      </c>
      <c r="K25" s="4">
        <v>3229993</v>
      </c>
      <c r="L25" s="3">
        <v>584.55999999999995</v>
      </c>
      <c r="M25" s="4">
        <v>2108664</v>
      </c>
      <c r="N25">
        <v>164674880</v>
      </c>
      <c r="O25">
        <v>4.93</v>
      </c>
    </row>
    <row r="26" spans="1:15" x14ac:dyDescent="0.35">
      <c r="A26">
        <v>49</v>
      </c>
      <c r="B26" t="s">
        <v>38</v>
      </c>
      <c r="D26">
        <v>10.19</v>
      </c>
      <c r="E26" t="s">
        <v>17</v>
      </c>
      <c r="F26">
        <v>1012</v>
      </c>
      <c r="G26">
        <v>1.4</v>
      </c>
      <c r="H26" t="s">
        <v>26</v>
      </c>
      <c r="I26" s="2">
        <v>1026.049</v>
      </c>
      <c r="J26" s="4">
        <v>24072722</v>
      </c>
      <c r="K26" s="4">
        <v>3282971</v>
      </c>
      <c r="L26" s="3">
        <v>1332.04</v>
      </c>
      <c r="M26" s="4">
        <v>5008652</v>
      </c>
      <c r="N26">
        <v>366657888</v>
      </c>
      <c r="O26">
        <v>4.8099999999999996</v>
      </c>
    </row>
    <row r="27" spans="1:15" x14ac:dyDescent="0.35">
      <c r="A27">
        <v>50</v>
      </c>
      <c r="B27" t="s">
        <v>39</v>
      </c>
      <c r="D27">
        <v>10.19</v>
      </c>
      <c r="E27" t="s">
        <v>17</v>
      </c>
      <c r="F27">
        <v>3036</v>
      </c>
      <c r="H27" t="s">
        <v>28</v>
      </c>
      <c r="J27" s="4">
        <v>54838584</v>
      </c>
      <c r="K27" s="4">
        <v>2953165</v>
      </c>
      <c r="L27" s="3">
        <v>3373.32</v>
      </c>
      <c r="M27" s="4">
        <v>11897643</v>
      </c>
      <c r="N27">
        <v>765602752</v>
      </c>
      <c r="O27">
        <v>4.6100000000000003</v>
      </c>
    </row>
    <row r="28" spans="1:15" x14ac:dyDescent="0.35">
      <c r="A28">
        <v>51</v>
      </c>
      <c r="B28" t="s">
        <v>40</v>
      </c>
      <c r="D28">
        <v>10.19</v>
      </c>
      <c r="E28" t="s">
        <v>17</v>
      </c>
      <c r="F28">
        <v>3036</v>
      </c>
      <c r="H28" t="s">
        <v>28</v>
      </c>
      <c r="J28" s="4">
        <v>53950524</v>
      </c>
      <c r="K28" s="4">
        <v>2867447</v>
      </c>
      <c r="L28" s="3">
        <v>3417.9</v>
      </c>
      <c r="M28" s="4">
        <v>11708585</v>
      </c>
      <c r="N28">
        <v>217013.2</v>
      </c>
      <c r="O28">
        <v>4.6100000000000003</v>
      </c>
    </row>
    <row r="29" spans="1:15" x14ac:dyDescent="0.35">
      <c r="A29">
        <v>52</v>
      </c>
      <c r="B29" t="s">
        <v>41</v>
      </c>
      <c r="D29">
        <v>10.19</v>
      </c>
      <c r="E29" t="s">
        <v>17</v>
      </c>
      <c r="F29">
        <v>5060</v>
      </c>
      <c r="H29" t="s">
        <v>28</v>
      </c>
      <c r="J29" s="4">
        <v>75593704</v>
      </c>
      <c r="K29" s="4">
        <v>2720233</v>
      </c>
      <c r="L29" s="3">
        <v>5048.2299999999996</v>
      </c>
      <c r="M29" s="4">
        <v>16597652</v>
      </c>
      <c r="N29">
        <v>1019583936</v>
      </c>
      <c r="O29">
        <v>4.55</v>
      </c>
    </row>
    <row r="30" spans="1:15" x14ac:dyDescent="0.35">
      <c r="A30">
        <v>12</v>
      </c>
      <c r="B30" t="s">
        <v>42</v>
      </c>
      <c r="D30">
        <v>10.19</v>
      </c>
      <c r="H30" t="s">
        <v>18</v>
      </c>
      <c r="J30" s="4">
        <v>38112</v>
      </c>
      <c r="K30" s="4">
        <v>1320</v>
      </c>
      <c r="M30" s="4">
        <v>7899</v>
      </c>
      <c r="N30">
        <v>308.5</v>
      </c>
      <c r="O30">
        <v>4.83</v>
      </c>
    </row>
    <row r="31" spans="1:15" x14ac:dyDescent="0.35">
      <c r="A31">
        <v>13</v>
      </c>
      <c r="B31" t="s">
        <v>43</v>
      </c>
      <c r="D31">
        <v>10.19</v>
      </c>
      <c r="H31" t="s">
        <v>18</v>
      </c>
      <c r="J31" s="4">
        <v>11795</v>
      </c>
      <c r="K31" s="4">
        <v>636</v>
      </c>
      <c r="M31" s="4">
        <v>2517</v>
      </c>
      <c r="N31">
        <v>291.10000000000002</v>
      </c>
      <c r="O31">
        <v>4.6900000000000004</v>
      </c>
    </row>
    <row r="32" spans="1:15" x14ac:dyDescent="0.35">
      <c r="A32">
        <v>14</v>
      </c>
      <c r="B32" t="s">
        <v>44</v>
      </c>
      <c r="D32">
        <v>10.19</v>
      </c>
      <c r="H32" t="s">
        <v>18</v>
      </c>
      <c r="J32" s="4">
        <v>8905</v>
      </c>
      <c r="K32" s="4">
        <v>557</v>
      </c>
      <c r="M32" s="4">
        <v>2382</v>
      </c>
      <c r="N32">
        <v>317.39999999999998</v>
      </c>
      <c r="O32">
        <v>3.74</v>
      </c>
    </row>
    <row r="33" spans="1:21" x14ac:dyDescent="0.35">
      <c r="A33">
        <v>15</v>
      </c>
      <c r="B33" t="s">
        <v>45</v>
      </c>
      <c r="D33">
        <v>10.19</v>
      </c>
      <c r="H33" t="s">
        <v>18</v>
      </c>
      <c r="J33" s="4">
        <v>6458</v>
      </c>
      <c r="K33" s="4">
        <v>460</v>
      </c>
      <c r="M33" s="4">
        <v>1449</v>
      </c>
      <c r="N33">
        <v>491.5</v>
      </c>
      <c r="O33">
        <v>4.46</v>
      </c>
      <c r="Q33" s="1" t="s">
        <v>97</v>
      </c>
      <c r="R33" s="1" t="s">
        <v>98</v>
      </c>
      <c r="S33" s="5" t="s">
        <v>99</v>
      </c>
      <c r="T33" s="6" t="s">
        <v>100</v>
      </c>
    </row>
    <row r="34" spans="1:21" x14ac:dyDescent="0.35">
      <c r="A34">
        <v>16</v>
      </c>
      <c r="B34" t="s">
        <v>46</v>
      </c>
      <c r="D34">
        <v>10.19</v>
      </c>
      <c r="H34" t="s">
        <v>18</v>
      </c>
      <c r="I34" s="2">
        <v>0.42199999999999999</v>
      </c>
      <c r="J34" s="4">
        <v>5249</v>
      </c>
      <c r="K34" s="4">
        <v>3612793</v>
      </c>
      <c r="L34" s="3">
        <v>0.34</v>
      </c>
      <c r="M34" s="4">
        <v>4952</v>
      </c>
      <c r="N34">
        <v>297</v>
      </c>
      <c r="O34">
        <v>1.06</v>
      </c>
      <c r="Q34" s="1">
        <v>60000</v>
      </c>
      <c r="U34" t="s">
        <v>101</v>
      </c>
    </row>
    <row r="35" spans="1:21" x14ac:dyDescent="0.35">
      <c r="A35">
        <v>17</v>
      </c>
      <c r="B35" t="s">
        <v>47</v>
      </c>
      <c r="C35" t="s">
        <v>48</v>
      </c>
      <c r="D35">
        <v>10.19</v>
      </c>
      <c r="H35" t="s">
        <v>18</v>
      </c>
      <c r="I35" s="2">
        <v>0.71799999999999997</v>
      </c>
      <c r="J35" s="4">
        <v>11490</v>
      </c>
      <c r="K35" s="4">
        <v>2615102</v>
      </c>
      <c r="L35" s="3">
        <v>0.8</v>
      </c>
      <c r="M35" s="4">
        <v>4541</v>
      </c>
      <c r="N35">
        <v>634.20000000000005</v>
      </c>
      <c r="O35">
        <v>2.5299999999999998</v>
      </c>
      <c r="Q35" s="1">
        <v>20</v>
      </c>
      <c r="R35" s="1">
        <v>0.27710000000000001</v>
      </c>
      <c r="S35" s="5">
        <f>((I35*Q35*1.5)/1000)*(6/0.1)*1.296</f>
        <v>1.6749504</v>
      </c>
      <c r="T35" s="6">
        <f>S35/R35</f>
        <v>6.0445701912666907</v>
      </c>
    </row>
    <row r="36" spans="1:21" x14ac:dyDescent="0.35">
      <c r="A36">
        <v>18</v>
      </c>
      <c r="B36" t="s">
        <v>49</v>
      </c>
      <c r="C36" t="s">
        <v>50</v>
      </c>
      <c r="D36">
        <v>10.19</v>
      </c>
      <c r="H36" t="s">
        <v>18</v>
      </c>
      <c r="I36" s="2">
        <v>0.71299999999999997</v>
      </c>
      <c r="J36" s="4">
        <v>11825</v>
      </c>
      <c r="K36" s="4">
        <v>2716141</v>
      </c>
      <c r="L36" s="3">
        <v>0.79</v>
      </c>
      <c r="M36" s="4">
        <v>4663</v>
      </c>
      <c r="N36">
        <v>799.3</v>
      </c>
      <c r="O36">
        <v>2.54</v>
      </c>
      <c r="Q36" s="1">
        <v>20</v>
      </c>
      <c r="R36" s="1">
        <v>0.29480000000000001</v>
      </c>
      <c r="S36" s="5">
        <f t="shared" ref="S36:S55" si="0">((I36*Q36*1.5)/1000)*(6/0.1)*1.296</f>
        <v>1.6632863999999998</v>
      </c>
      <c r="T36" s="6">
        <f t="shared" ref="T36:T55" si="1">S36/R36</f>
        <v>5.6420841248303928</v>
      </c>
    </row>
    <row r="37" spans="1:21" x14ac:dyDescent="0.35">
      <c r="A37">
        <v>19</v>
      </c>
      <c r="B37" t="s">
        <v>51</v>
      </c>
      <c r="C37" t="s">
        <v>52</v>
      </c>
      <c r="D37">
        <v>10.19</v>
      </c>
      <c r="H37" t="s">
        <v>18</v>
      </c>
      <c r="I37" s="2">
        <v>47.722000000000001</v>
      </c>
      <c r="J37" s="4">
        <v>963915</v>
      </c>
      <c r="K37" s="4">
        <v>2408070</v>
      </c>
      <c r="L37" s="3">
        <v>72.7</v>
      </c>
      <c r="M37" s="4">
        <v>199599</v>
      </c>
      <c r="N37">
        <v>36180.400000000001</v>
      </c>
      <c r="O37">
        <v>4.83</v>
      </c>
      <c r="Q37" s="1">
        <v>20</v>
      </c>
      <c r="R37" s="1">
        <v>0.29020000000000001</v>
      </c>
      <c r="S37" s="5">
        <f t="shared" si="0"/>
        <v>111.32588160000002</v>
      </c>
      <c r="T37" s="6">
        <f t="shared" si="1"/>
        <v>383.61778635423849</v>
      </c>
    </row>
    <row r="38" spans="1:21" x14ac:dyDescent="0.35">
      <c r="A38">
        <v>20</v>
      </c>
      <c r="B38" t="s">
        <v>53</v>
      </c>
      <c r="C38" t="s">
        <v>54</v>
      </c>
      <c r="D38">
        <v>10.19</v>
      </c>
      <c r="H38" t="s">
        <v>18</v>
      </c>
      <c r="I38" s="2">
        <v>51.494</v>
      </c>
      <c r="J38" s="4">
        <v>1099291</v>
      </c>
      <c r="K38" s="4">
        <v>2545794</v>
      </c>
      <c r="L38" s="3">
        <v>78.42</v>
      </c>
      <c r="M38" s="4">
        <v>224496</v>
      </c>
      <c r="N38">
        <v>65584.100000000006</v>
      </c>
      <c r="O38">
        <v>4.9000000000000004</v>
      </c>
      <c r="Q38" s="1">
        <v>20</v>
      </c>
      <c r="R38" s="1">
        <v>0.33610000000000001</v>
      </c>
      <c r="S38" s="5">
        <f t="shared" si="0"/>
        <v>120.1252032</v>
      </c>
      <c r="T38" s="6">
        <f t="shared" si="1"/>
        <v>357.40911395418027</v>
      </c>
    </row>
    <row r="39" spans="1:21" x14ac:dyDescent="0.35">
      <c r="A39">
        <v>21</v>
      </c>
      <c r="B39" t="s">
        <v>55</v>
      </c>
      <c r="C39" t="s">
        <v>56</v>
      </c>
      <c r="D39">
        <v>10.19</v>
      </c>
      <c r="H39" t="s">
        <v>18</v>
      </c>
      <c r="I39" s="2">
        <v>41.262</v>
      </c>
      <c r="J39" s="4">
        <v>856451</v>
      </c>
      <c r="K39" s="4">
        <v>2473738</v>
      </c>
      <c r="L39" s="3">
        <v>62.88</v>
      </c>
      <c r="M39" s="4">
        <v>176665</v>
      </c>
      <c r="N39">
        <v>4022</v>
      </c>
      <c r="O39">
        <v>4.8499999999999996</v>
      </c>
      <c r="Q39" s="1">
        <v>20</v>
      </c>
      <c r="R39" s="1">
        <v>0.28349999999999997</v>
      </c>
      <c r="S39" s="5">
        <f t="shared" si="0"/>
        <v>96.255993600000011</v>
      </c>
      <c r="T39" s="6">
        <f t="shared" si="1"/>
        <v>339.52731428571434</v>
      </c>
    </row>
    <row r="40" spans="1:21" x14ac:dyDescent="0.35">
      <c r="A40">
        <v>22</v>
      </c>
      <c r="B40" t="s">
        <v>57</v>
      </c>
      <c r="C40" t="s">
        <v>58</v>
      </c>
      <c r="D40">
        <v>10.19</v>
      </c>
      <c r="H40" t="s">
        <v>18</v>
      </c>
      <c r="I40" s="2">
        <v>103.226</v>
      </c>
      <c r="J40" s="4">
        <v>2061384</v>
      </c>
      <c r="K40" s="4">
        <v>2395953</v>
      </c>
      <c r="L40" s="3">
        <v>156.26</v>
      </c>
      <c r="M40" s="4">
        <v>428558</v>
      </c>
      <c r="N40">
        <v>53420.800000000003</v>
      </c>
      <c r="O40">
        <v>4.8099999999999996</v>
      </c>
      <c r="Q40" s="1">
        <v>20</v>
      </c>
      <c r="R40" s="1">
        <v>0.28410000000000002</v>
      </c>
      <c r="S40" s="5">
        <f t="shared" si="0"/>
        <v>240.80561279999998</v>
      </c>
      <c r="T40" s="6">
        <f t="shared" si="1"/>
        <v>847.60863357972528</v>
      </c>
    </row>
    <row r="41" spans="1:21" x14ac:dyDescent="0.35">
      <c r="A41">
        <v>23</v>
      </c>
      <c r="B41" t="s">
        <v>59</v>
      </c>
      <c r="C41" t="s">
        <v>60</v>
      </c>
      <c r="D41">
        <v>10.19</v>
      </c>
      <c r="H41" t="s">
        <v>18</v>
      </c>
      <c r="I41" s="2">
        <v>64.581000000000003</v>
      </c>
      <c r="J41" s="4">
        <v>1324380</v>
      </c>
      <c r="K41" s="4">
        <v>2448548</v>
      </c>
      <c r="L41" s="3">
        <v>98.24</v>
      </c>
      <c r="M41" s="4">
        <v>271903</v>
      </c>
      <c r="N41">
        <v>24902.3</v>
      </c>
      <c r="O41">
        <v>4.87</v>
      </c>
      <c r="Q41" s="1">
        <v>20</v>
      </c>
      <c r="R41" s="1">
        <v>0.30840000000000001</v>
      </c>
      <c r="S41" s="5">
        <f t="shared" si="0"/>
        <v>150.65455680000002</v>
      </c>
      <c r="T41" s="6">
        <f t="shared" si="1"/>
        <v>488.5037509727627</v>
      </c>
    </row>
    <row r="42" spans="1:21" x14ac:dyDescent="0.35">
      <c r="A42">
        <v>24</v>
      </c>
      <c r="B42" t="s">
        <v>61</v>
      </c>
      <c r="C42" t="s">
        <v>62</v>
      </c>
      <c r="D42">
        <v>10.19</v>
      </c>
      <c r="H42" t="s">
        <v>18</v>
      </c>
      <c r="I42" s="2">
        <v>108.503</v>
      </c>
      <c r="J42" s="4">
        <v>2115625</v>
      </c>
      <c r="K42" s="4">
        <v>2341092</v>
      </c>
      <c r="L42" s="3">
        <v>164.13</v>
      </c>
      <c r="M42" s="4">
        <v>431786</v>
      </c>
      <c r="N42">
        <v>102345.4</v>
      </c>
      <c r="O42">
        <v>4.9000000000000004</v>
      </c>
      <c r="Q42" s="1">
        <v>20</v>
      </c>
      <c r="R42" s="1">
        <v>0.30049999999999999</v>
      </c>
      <c r="S42" s="5">
        <f t="shared" si="0"/>
        <v>253.11579839999999</v>
      </c>
      <c r="T42" s="6">
        <f t="shared" si="1"/>
        <v>842.31546888519131</v>
      </c>
    </row>
    <row r="43" spans="1:21" x14ac:dyDescent="0.35">
      <c r="A43">
        <v>25</v>
      </c>
      <c r="B43" t="s">
        <v>63</v>
      </c>
      <c r="C43" t="s">
        <v>64</v>
      </c>
      <c r="D43">
        <v>10.19</v>
      </c>
      <c r="H43" t="s">
        <v>18</v>
      </c>
      <c r="I43" s="2">
        <v>78.385999999999996</v>
      </c>
      <c r="J43" s="4">
        <v>1587173</v>
      </c>
      <c r="K43" s="4">
        <v>2421494</v>
      </c>
      <c r="L43" s="3">
        <v>119.04</v>
      </c>
      <c r="M43" s="4">
        <v>330343</v>
      </c>
      <c r="N43">
        <v>101405.3</v>
      </c>
      <c r="O43">
        <v>4.8</v>
      </c>
      <c r="Q43" s="1">
        <v>20</v>
      </c>
      <c r="R43" s="1">
        <v>0.29110000000000003</v>
      </c>
      <c r="S43" s="5">
        <f t="shared" si="0"/>
        <v>182.8588608</v>
      </c>
      <c r="T43" s="6">
        <f t="shared" si="1"/>
        <v>628.16510065269665</v>
      </c>
    </row>
    <row r="44" spans="1:21" x14ac:dyDescent="0.35">
      <c r="A44">
        <v>26</v>
      </c>
      <c r="B44" t="s">
        <v>65</v>
      </c>
      <c r="C44" t="s">
        <v>66</v>
      </c>
      <c r="D44">
        <v>10.19</v>
      </c>
      <c r="H44" t="s">
        <v>18</v>
      </c>
      <c r="I44" s="2">
        <v>85.43</v>
      </c>
      <c r="J44" s="4">
        <v>1842769</v>
      </c>
      <c r="K44" s="4">
        <v>2581910</v>
      </c>
      <c r="L44" s="3">
        <v>129.63</v>
      </c>
      <c r="M44" s="4">
        <v>379811</v>
      </c>
      <c r="N44">
        <v>40683.699999999997</v>
      </c>
      <c r="O44">
        <v>4.8499999999999996</v>
      </c>
      <c r="Q44" s="1">
        <v>20</v>
      </c>
      <c r="R44" s="1">
        <v>0.29139999999999999</v>
      </c>
      <c r="S44" s="5">
        <f t="shared" si="0"/>
        <v>199.29110400000002</v>
      </c>
      <c r="T44" s="6">
        <f t="shared" si="1"/>
        <v>683.90907343857248</v>
      </c>
    </row>
    <row r="45" spans="1:21" x14ac:dyDescent="0.35">
      <c r="A45">
        <v>27</v>
      </c>
      <c r="B45" t="s">
        <v>67</v>
      </c>
      <c r="C45" t="s">
        <v>68</v>
      </c>
      <c r="D45">
        <v>10.19</v>
      </c>
      <c r="H45" t="s">
        <v>18</v>
      </c>
      <c r="I45" s="2">
        <v>77.677999999999997</v>
      </c>
      <c r="J45" s="4">
        <v>1681424</v>
      </c>
      <c r="K45" s="4">
        <v>2588418</v>
      </c>
      <c r="L45" s="3">
        <v>117.98</v>
      </c>
      <c r="M45" s="4">
        <v>342200</v>
      </c>
      <c r="N45">
        <v>103436</v>
      </c>
      <c r="O45">
        <v>4.91</v>
      </c>
      <c r="Q45" s="1">
        <v>20</v>
      </c>
      <c r="R45" s="1">
        <v>0.31840000000000002</v>
      </c>
      <c r="S45" s="5">
        <f t="shared" si="0"/>
        <v>181.20723840000002</v>
      </c>
      <c r="T45" s="6">
        <f t="shared" si="1"/>
        <v>569.11821105527645</v>
      </c>
    </row>
    <row r="46" spans="1:21" x14ac:dyDescent="0.35">
      <c r="A46">
        <v>28</v>
      </c>
      <c r="B46" t="s">
        <v>69</v>
      </c>
      <c r="D46">
        <v>10.19</v>
      </c>
      <c r="H46" t="s">
        <v>18</v>
      </c>
      <c r="J46" s="4">
        <v>2735</v>
      </c>
      <c r="K46" s="4">
        <v>2470</v>
      </c>
      <c r="M46" s="4">
        <v>811</v>
      </c>
      <c r="N46">
        <v>132.9</v>
      </c>
      <c r="O46">
        <v>3.37</v>
      </c>
    </row>
    <row r="47" spans="1:21" x14ac:dyDescent="0.35">
      <c r="A47">
        <v>29</v>
      </c>
      <c r="B47" t="s">
        <v>70</v>
      </c>
      <c r="C47" t="s">
        <v>71</v>
      </c>
      <c r="D47">
        <v>10.19</v>
      </c>
      <c r="H47" t="s">
        <v>18</v>
      </c>
      <c r="I47" s="2">
        <v>0.745</v>
      </c>
      <c r="J47" s="4">
        <v>14691</v>
      </c>
      <c r="K47" s="4">
        <v>3177697</v>
      </c>
      <c r="L47" s="3">
        <v>0.84</v>
      </c>
      <c r="M47" s="4">
        <v>5741</v>
      </c>
      <c r="N47">
        <v>862.9</v>
      </c>
      <c r="O47">
        <v>2.56</v>
      </c>
      <c r="Q47" s="1">
        <v>20</v>
      </c>
      <c r="R47" s="1">
        <v>0.30790000000000001</v>
      </c>
      <c r="S47" s="5">
        <f t="shared" si="0"/>
        <v>1.7379360000000004</v>
      </c>
      <c r="T47" s="6">
        <f t="shared" si="1"/>
        <v>5.6444819746671007</v>
      </c>
    </row>
    <row r="48" spans="1:21" x14ac:dyDescent="0.35">
      <c r="A48">
        <v>30</v>
      </c>
      <c r="B48" t="s">
        <v>72</v>
      </c>
      <c r="C48" t="s">
        <v>73</v>
      </c>
      <c r="D48">
        <v>10.19</v>
      </c>
      <c r="H48" t="s">
        <v>18</v>
      </c>
      <c r="I48" s="2">
        <v>0.36899999999999999</v>
      </c>
      <c r="J48" s="4">
        <v>4426</v>
      </c>
      <c r="K48" s="4">
        <v>3097922</v>
      </c>
      <c r="L48" s="3">
        <v>0.26</v>
      </c>
      <c r="M48" s="4">
        <v>3576</v>
      </c>
      <c r="N48">
        <v>136.69999999999999</v>
      </c>
      <c r="O48">
        <v>1.24</v>
      </c>
      <c r="Q48" s="1">
        <v>20</v>
      </c>
      <c r="R48" s="1">
        <v>0.26019999999999999</v>
      </c>
      <c r="S48" s="5">
        <f t="shared" si="0"/>
        <v>0.86080319999999999</v>
      </c>
      <c r="T48" s="6">
        <f t="shared" si="1"/>
        <v>3.3082367409684861</v>
      </c>
    </row>
    <row r="49" spans="1:20" x14ac:dyDescent="0.35">
      <c r="A49">
        <v>31</v>
      </c>
      <c r="B49" t="s">
        <v>74</v>
      </c>
      <c r="C49" t="s">
        <v>75</v>
      </c>
      <c r="D49">
        <v>10.19</v>
      </c>
      <c r="H49" t="s">
        <v>18</v>
      </c>
      <c r="I49" s="2">
        <v>0.38</v>
      </c>
      <c r="J49" s="4">
        <v>4614</v>
      </c>
      <c r="K49" s="4">
        <v>3031204</v>
      </c>
      <c r="L49" s="3">
        <v>0.28000000000000003</v>
      </c>
      <c r="M49" s="4">
        <v>3691</v>
      </c>
      <c r="N49">
        <v>240.1</v>
      </c>
      <c r="O49">
        <v>1.25</v>
      </c>
      <c r="Q49" s="1">
        <v>20</v>
      </c>
      <c r="R49" s="1">
        <v>0.26729999999999998</v>
      </c>
      <c r="S49" s="5">
        <f t="shared" si="0"/>
        <v>0.88646399999999992</v>
      </c>
      <c r="T49" s="6">
        <f t="shared" si="1"/>
        <v>3.3163636363636364</v>
      </c>
    </row>
    <row r="50" spans="1:20" x14ac:dyDescent="0.35">
      <c r="A50">
        <v>32</v>
      </c>
      <c r="B50" t="s">
        <v>76</v>
      </c>
      <c r="C50" t="s">
        <v>77</v>
      </c>
      <c r="D50">
        <v>10.19</v>
      </c>
      <c r="H50" t="s">
        <v>18</v>
      </c>
      <c r="I50" s="2">
        <v>0.70899999999999996</v>
      </c>
      <c r="J50" s="4">
        <v>12601</v>
      </c>
      <c r="K50" s="4">
        <v>2920108</v>
      </c>
      <c r="L50" s="3">
        <v>0.78</v>
      </c>
      <c r="M50" s="4">
        <v>4858</v>
      </c>
      <c r="N50">
        <v>320.39999999999998</v>
      </c>
      <c r="O50">
        <v>2.59</v>
      </c>
      <c r="Q50" s="1">
        <v>20</v>
      </c>
      <c r="R50" s="1">
        <v>0.26569999999999999</v>
      </c>
      <c r="S50" s="5">
        <f t="shared" si="0"/>
        <v>1.6539552</v>
      </c>
      <c r="T50" s="6">
        <f t="shared" si="1"/>
        <v>6.2248972525404591</v>
      </c>
    </row>
    <row r="51" spans="1:20" x14ac:dyDescent="0.35">
      <c r="A51">
        <v>33</v>
      </c>
      <c r="B51" t="s">
        <v>78</v>
      </c>
      <c r="C51" t="s">
        <v>79</v>
      </c>
      <c r="D51">
        <v>10.19</v>
      </c>
      <c r="H51" t="s">
        <v>18</v>
      </c>
      <c r="I51" s="2">
        <v>0.34599999999999997</v>
      </c>
      <c r="J51" s="4">
        <v>3683</v>
      </c>
      <c r="K51" s="4">
        <v>2970031</v>
      </c>
      <c r="L51" s="3">
        <v>0.23</v>
      </c>
      <c r="M51" s="4">
        <v>3137</v>
      </c>
      <c r="N51">
        <v>135.19999999999999</v>
      </c>
      <c r="O51">
        <v>1.17</v>
      </c>
      <c r="Q51" s="1">
        <v>20</v>
      </c>
      <c r="R51" s="1">
        <v>0.24390000000000001</v>
      </c>
      <c r="S51" s="5">
        <f t="shared" si="0"/>
        <v>0.80714879999999989</v>
      </c>
      <c r="T51" s="6">
        <f t="shared" si="1"/>
        <v>3.3093431734317336</v>
      </c>
    </row>
    <row r="52" spans="1:20" x14ac:dyDescent="0.35">
      <c r="A52">
        <v>34</v>
      </c>
      <c r="B52" t="s">
        <v>80</v>
      </c>
      <c r="C52" t="s">
        <v>81</v>
      </c>
      <c r="D52">
        <v>10.19</v>
      </c>
      <c r="H52" t="s">
        <v>18</v>
      </c>
      <c r="I52" s="2">
        <v>0.32</v>
      </c>
      <c r="J52" s="4">
        <v>2982</v>
      </c>
      <c r="K52" s="4">
        <v>2926031</v>
      </c>
      <c r="L52" s="3">
        <v>0.19</v>
      </c>
      <c r="M52" s="4">
        <v>3056</v>
      </c>
      <c r="N52">
        <v>54.2</v>
      </c>
      <c r="O52">
        <v>0.98</v>
      </c>
      <c r="Q52" s="1">
        <v>20</v>
      </c>
      <c r="R52" s="1">
        <v>0.21940000000000001</v>
      </c>
      <c r="S52" s="5">
        <f t="shared" si="0"/>
        <v>0.74649600000000016</v>
      </c>
      <c r="T52" s="6">
        <f t="shared" si="1"/>
        <v>3.4024430264357344</v>
      </c>
    </row>
    <row r="53" spans="1:20" x14ac:dyDescent="0.35">
      <c r="A53">
        <v>35</v>
      </c>
      <c r="B53" t="s">
        <v>82</v>
      </c>
      <c r="C53" t="s">
        <v>83</v>
      </c>
      <c r="D53">
        <v>10.19</v>
      </c>
      <c r="H53" t="s">
        <v>18</v>
      </c>
      <c r="I53" s="2">
        <v>0.33200000000000002</v>
      </c>
      <c r="J53" s="4">
        <v>3244</v>
      </c>
      <c r="K53" s="4">
        <v>2903460</v>
      </c>
      <c r="L53" s="3">
        <v>0.2</v>
      </c>
      <c r="M53" s="4">
        <v>2903</v>
      </c>
      <c r="N53">
        <v>233</v>
      </c>
      <c r="O53">
        <v>1.1200000000000001</v>
      </c>
      <c r="Q53" s="1">
        <v>20</v>
      </c>
      <c r="R53" s="1">
        <v>0.25559999999999999</v>
      </c>
      <c r="S53" s="5">
        <f t="shared" si="0"/>
        <v>0.7744896</v>
      </c>
      <c r="T53" s="6">
        <f t="shared" si="1"/>
        <v>3.0300845070422535</v>
      </c>
    </row>
    <row r="54" spans="1:20" x14ac:dyDescent="0.35">
      <c r="A54">
        <v>36</v>
      </c>
      <c r="B54" t="s">
        <v>84</v>
      </c>
      <c r="C54" t="s">
        <v>85</v>
      </c>
      <c r="D54">
        <v>10.19</v>
      </c>
      <c r="H54" t="s">
        <v>18</v>
      </c>
      <c r="I54" s="2">
        <v>0.313</v>
      </c>
      <c r="J54" s="4">
        <v>2719</v>
      </c>
      <c r="K54" s="4">
        <v>2835110</v>
      </c>
      <c r="L54" s="3">
        <v>0.17</v>
      </c>
      <c r="M54" s="4">
        <v>2778</v>
      </c>
      <c r="N54">
        <v>314.2</v>
      </c>
      <c r="O54">
        <v>0.98</v>
      </c>
      <c r="Q54" s="1">
        <v>20</v>
      </c>
      <c r="R54" s="1">
        <v>0.2036</v>
      </c>
      <c r="S54" s="5">
        <f t="shared" si="0"/>
        <v>0.73016639999999999</v>
      </c>
      <c r="T54" s="6">
        <f t="shared" si="1"/>
        <v>3.5862789783889979</v>
      </c>
    </row>
    <row r="55" spans="1:20" x14ac:dyDescent="0.35">
      <c r="A55">
        <v>37</v>
      </c>
      <c r="B55" t="s">
        <v>86</v>
      </c>
      <c r="C55" t="s">
        <v>87</v>
      </c>
      <c r="D55">
        <v>10.19</v>
      </c>
      <c r="H55" t="s">
        <v>18</v>
      </c>
      <c r="I55" s="2">
        <v>0.312</v>
      </c>
      <c r="J55" s="4">
        <v>2618</v>
      </c>
      <c r="K55" s="4">
        <v>2747064</v>
      </c>
      <c r="L55" s="3">
        <v>0.17</v>
      </c>
      <c r="M55" s="4">
        <v>2673</v>
      </c>
      <c r="N55">
        <v>107.4</v>
      </c>
      <c r="O55">
        <v>0.98</v>
      </c>
      <c r="Q55" s="1">
        <v>20</v>
      </c>
      <c r="R55" s="1">
        <v>0.23849999999999999</v>
      </c>
      <c r="S55" s="5">
        <f t="shared" si="0"/>
        <v>0.72783359999999997</v>
      </c>
      <c r="T55" s="6">
        <f t="shared" si="1"/>
        <v>3.05171320754717</v>
      </c>
    </row>
    <row r="56" spans="1:20" x14ac:dyDescent="0.35">
      <c r="A56">
        <v>38</v>
      </c>
      <c r="B56" t="s">
        <v>88</v>
      </c>
      <c r="K56" s="4">
        <v>1289</v>
      </c>
    </row>
    <row r="57" spans="1:20" x14ac:dyDescent="0.35">
      <c r="A57">
        <v>39</v>
      </c>
      <c r="B57" t="s">
        <v>89</v>
      </c>
      <c r="K57" s="4">
        <v>482</v>
      </c>
    </row>
    <row r="58" spans="1:20" x14ac:dyDescent="0.35">
      <c r="A58">
        <v>40</v>
      </c>
      <c r="B58" t="s">
        <v>90</v>
      </c>
      <c r="K58" s="4">
        <v>435</v>
      </c>
    </row>
    <row r="59" spans="1:20" x14ac:dyDescent="0.35">
      <c r="A59">
        <v>41</v>
      </c>
      <c r="B59" t="s">
        <v>91</v>
      </c>
      <c r="K59" s="4">
        <v>311</v>
      </c>
    </row>
    <row r="61" spans="1:20" x14ac:dyDescent="0.35">
      <c r="A61" t="s">
        <v>92</v>
      </c>
    </row>
    <row r="63" spans="1:20" x14ac:dyDescent="0.35">
      <c r="B63" t="s">
        <v>3</v>
      </c>
      <c r="C63" t="s">
        <v>4</v>
      </c>
      <c r="D63" t="s">
        <v>5</v>
      </c>
      <c r="E63" t="s">
        <v>6</v>
      </c>
      <c r="F63" t="s">
        <v>96</v>
      </c>
      <c r="G63" t="s">
        <v>7</v>
      </c>
      <c r="H63" t="s">
        <v>8</v>
      </c>
      <c r="I63" s="2" t="s">
        <v>9</v>
      </c>
      <c r="J63" s="4" t="s">
        <v>10</v>
      </c>
      <c r="K63" s="4" t="s">
        <v>11</v>
      </c>
      <c r="L63" s="3" t="s">
        <v>12</v>
      </c>
      <c r="M63" s="4" t="s">
        <v>13</v>
      </c>
      <c r="N63" t="s">
        <v>14</v>
      </c>
      <c r="O63" t="s">
        <v>15</v>
      </c>
    </row>
    <row r="64" spans="1:20" x14ac:dyDescent="0.35">
      <c r="A64">
        <v>1</v>
      </c>
      <c r="B64" t="s">
        <v>16</v>
      </c>
      <c r="D64">
        <v>10.17</v>
      </c>
      <c r="E64" t="s">
        <v>17</v>
      </c>
      <c r="F64">
        <v>181.66</v>
      </c>
      <c r="G64">
        <v>3</v>
      </c>
      <c r="H64" t="s">
        <v>18</v>
      </c>
      <c r="I64" s="2">
        <v>187.02099999999999</v>
      </c>
      <c r="J64" s="4">
        <v>3165509</v>
      </c>
      <c r="L64" s="3">
        <v>3165509.25</v>
      </c>
      <c r="N64">
        <v>63550.8</v>
      </c>
    </row>
    <row r="65" spans="1:14" x14ac:dyDescent="0.35">
      <c r="A65">
        <v>2</v>
      </c>
      <c r="B65" t="s">
        <v>19</v>
      </c>
      <c r="D65">
        <v>10.17</v>
      </c>
      <c r="E65" t="s">
        <v>17</v>
      </c>
      <c r="F65">
        <v>181.66</v>
      </c>
      <c r="G65">
        <v>0.5</v>
      </c>
      <c r="H65" t="s">
        <v>18</v>
      </c>
      <c r="I65" s="2">
        <v>182.60300000000001</v>
      </c>
      <c r="J65" s="4">
        <v>3090725</v>
      </c>
      <c r="L65" s="3">
        <v>3090725.25</v>
      </c>
      <c r="N65">
        <v>215009.5</v>
      </c>
    </row>
    <row r="66" spans="1:14" x14ac:dyDescent="0.35">
      <c r="A66">
        <v>3</v>
      </c>
      <c r="B66" t="s">
        <v>20</v>
      </c>
      <c r="D66">
        <v>10.17</v>
      </c>
      <c r="E66" t="s">
        <v>17</v>
      </c>
      <c r="F66">
        <v>181.66</v>
      </c>
      <c r="G66">
        <v>1.7</v>
      </c>
      <c r="H66" t="s">
        <v>18</v>
      </c>
      <c r="I66" s="2">
        <v>184.762</v>
      </c>
      <c r="J66" s="4">
        <v>3127273</v>
      </c>
      <c r="L66" s="3">
        <v>3127273.25</v>
      </c>
      <c r="N66">
        <v>156382.20000000001</v>
      </c>
    </row>
    <row r="67" spans="1:14" x14ac:dyDescent="0.35">
      <c r="A67">
        <v>4</v>
      </c>
      <c r="B67" t="s">
        <v>21</v>
      </c>
      <c r="D67">
        <v>10.17</v>
      </c>
      <c r="E67" t="s">
        <v>17</v>
      </c>
      <c r="F67">
        <v>181.66</v>
      </c>
      <c r="G67">
        <v>-0.3</v>
      </c>
      <c r="H67" t="s">
        <v>18</v>
      </c>
      <c r="I67" s="2">
        <v>181.137</v>
      </c>
      <c r="J67" s="4">
        <v>3065920</v>
      </c>
      <c r="L67" s="3">
        <v>3065920</v>
      </c>
      <c r="N67">
        <v>235390.4</v>
      </c>
    </row>
    <row r="68" spans="1:14" x14ac:dyDescent="0.35">
      <c r="A68">
        <v>5</v>
      </c>
      <c r="B68" t="s">
        <v>22</v>
      </c>
      <c r="D68">
        <v>10.17</v>
      </c>
      <c r="E68" t="s">
        <v>17</v>
      </c>
      <c r="F68">
        <v>181.66</v>
      </c>
      <c r="G68">
        <v>-0.6</v>
      </c>
      <c r="H68" t="s">
        <v>18</v>
      </c>
      <c r="I68" s="2">
        <v>180.63</v>
      </c>
      <c r="J68" s="4">
        <v>3057340</v>
      </c>
      <c r="L68" s="3">
        <v>3057340.25</v>
      </c>
      <c r="N68">
        <v>177903.3</v>
      </c>
    </row>
    <row r="69" spans="1:14" x14ac:dyDescent="0.35">
      <c r="A69">
        <v>6</v>
      </c>
      <c r="B69" t="s">
        <v>23</v>
      </c>
      <c r="D69">
        <v>10.17</v>
      </c>
      <c r="E69" t="s">
        <v>17</v>
      </c>
      <c r="F69">
        <v>181.66</v>
      </c>
      <c r="G69">
        <v>-5.4</v>
      </c>
      <c r="H69" t="s">
        <v>18</v>
      </c>
      <c r="I69" s="2">
        <v>171.88200000000001</v>
      </c>
      <c r="J69" s="4">
        <v>2909259</v>
      </c>
      <c r="L69" s="3">
        <v>2909258.75</v>
      </c>
      <c r="N69">
        <v>89541.6</v>
      </c>
    </row>
    <row r="70" spans="1:14" x14ac:dyDescent="0.35">
      <c r="A70">
        <v>7</v>
      </c>
      <c r="B70" t="s">
        <v>24</v>
      </c>
      <c r="D70">
        <v>10.17</v>
      </c>
      <c r="E70" t="s">
        <v>17</v>
      </c>
      <c r="F70">
        <v>181.66</v>
      </c>
      <c r="G70">
        <v>-1.9</v>
      </c>
      <c r="H70" t="s">
        <v>18</v>
      </c>
      <c r="I70" s="2">
        <v>178.249</v>
      </c>
      <c r="J70" s="4">
        <v>3017027</v>
      </c>
      <c r="L70" s="3">
        <v>3017027</v>
      </c>
      <c r="N70">
        <v>278042.7</v>
      </c>
    </row>
    <row r="71" spans="1:14" x14ac:dyDescent="0.35">
      <c r="A71">
        <v>8</v>
      </c>
      <c r="B71" t="s">
        <v>25</v>
      </c>
      <c r="D71">
        <v>10.17</v>
      </c>
      <c r="E71" t="s">
        <v>17</v>
      </c>
      <c r="F71">
        <v>181.66</v>
      </c>
      <c r="G71">
        <v>0.5</v>
      </c>
      <c r="H71" t="s">
        <v>18</v>
      </c>
      <c r="I71" s="2">
        <v>182.626</v>
      </c>
      <c r="J71" s="4">
        <v>3091126</v>
      </c>
      <c r="L71" s="3">
        <v>3091125.5</v>
      </c>
      <c r="N71">
        <v>135132.1</v>
      </c>
    </row>
    <row r="72" spans="1:14" x14ac:dyDescent="0.35">
      <c r="A72">
        <v>9</v>
      </c>
      <c r="B72" t="s">
        <v>27</v>
      </c>
      <c r="D72">
        <v>10.17</v>
      </c>
      <c r="E72" t="s">
        <v>17</v>
      </c>
      <c r="F72">
        <v>181.66</v>
      </c>
      <c r="G72">
        <v>-4.2</v>
      </c>
      <c r="H72" t="s">
        <v>18</v>
      </c>
      <c r="I72" s="2">
        <v>174.084</v>
      </c>
      <c r="J72" s="4">
        <v>2946528</v>
      </c>
      <c r="L72" s="3">
        <v>2946528.25</v>
      </c>
      <c r="N72">
        <v>128529.60000000001</v>
      </c>
    </row>
    <row r="73" spans="1:14" x14ac:dyDescent="0.35">
      <c r="A73">
        <v>10</v>
      </c>
      <c r="B73" t="s">
        <v>29</v>
      </c>
      <c r="D73">
        <v>10.17</v>
      </c>
      <c r="E73" t="s">
        <v>17</v>
      </c>
      <c r="F73">
        <v>181.66</v>
      </c>
      <c r="G73">
        <v>-6.8</v>
      </c>
      <c r="H73" t="s">
        <v>18</v>
      </c>
      <c r="I73" s="2">
        <v>169.303</v>
      </c>
      <c r="J73" s="4">
        <v>2865609</v>
      </c>
      <c r="L73" s="3">
        <v>2865609.25</v>
      </c>
      <c r="N73">
        <v>82400.5</v>
      </c>
    </row>
    <row r="74" spans="1:14" x14ac:dyDescent="0.35">
      <c r="A74">
        <v>11</v>
      </c>
      <c r="B74" t="s">
        <v>30</v>
      </c>
      <c r="D74">
        <v>10.17</v>
      </c>
      <c r="E74" t="s">
        <v>17</v>
      </c>
      <c r="F74">
        <v>181.66</v>
      </c>
      <c r="G74">
        <v>-10.9</v>
      </c>
      <c r="H74" t="s">
        <v>26</v>
      </c>
      <c r="I74" s="2">
        <v>161.899</v>
      </c>
      <c r="J74" s="4">
        <v>2740289</v>
      </c>
      <c r="L74" s="3">
        <v>2740288.5</v>
      </c>
      <c r="N74">
        <v>33998.300000000003</v>
      </c>
    </row>
    <row r="75" spans="1:14" x14ac:dyDescent="0.35">
      <c r="A75">
        <v>42</v>
      </c>
      <c r="B75" t="s">
        <v>31</v>
      </c>
      <c r="D75">
        <v>10.17</v>
      </c>
      <c r="E75" t="s">
        <v>17</v>
      </c>
      <c r="F75">
        <v>181.66</v>
      </c>
      <c r="G75">
        <v>4.4000000000000004</v>
      </c>
      <c r="H75" t="s">
        <v>18</v>
      </c>
      <c r="I75" s="2">
        <v>189.69499999999999</v>
      </c>
      <c r="J75" s="4">
        <v>3210772</v>
      </c>
      <c r="L75" s="3">
        <v>3210772.25</v>
      </c>
      <c r="N75">
        <v>134696</v>
      </c>
    </row>
    <row r="76" spans="1:14" x14ac:dyDescent="0.35">
      <c r="A76">
        <v>43</v>
      </c>
      <c r="B76" t="s">
        <v>32</v>
      </c>
      <c r="D76">
        <v>10.17</v>
      </c>
      <c r="E76" t="s">
        <v>17</v>
      </c>
      <c r="F76">
        <v>181.66</v>
      </c>
      <c r="G76">
        <v>3.9</v>
      </c>
      <c r="H76" t="s">
        <v>18</v>
      </c>
      <c r="I76" s="2">
        <v>188.73099999999999</v>
      </c>
      <c r="J76" s="4">
        <v>3194451</v>
      </c>
      <c r="L76" s="3">
        <v>3194450.5</v>
      </c>
      <c r="N76">
        <v>337165.6</v>
      </c>
    </row>
    <row r="77" spans="1:14" x14ac:dyDescent="0.35">
      <c r="A77">
        <v>44</v>
      </c>
      <c r="B77" t="s">
        <v>33</v>
      </c>
      <c r="D77">
        <v>10.17</v>
      </c>
      <c r="E77" t="s">
        <v>17</v>
      </c>
      <c r="F77">
        <v>181.66</v>
      </c>
      <c r="G77">
        <v>1.1000000000000001</v>
      </c>
      <c r="H77" t="s">
        <v>18</v>
      </c>
      <c r="I77" s="2">
        <v>183.72300000000001</v>
      </c>
      <c r="J77" s="4">
        <v>3109684</v>
      </c>
      <c r="L77" s="3">
        <v>3109684</v>
      </c>
      <c r="N77">
        <v>26197.3</v>
      </c>
    </row>
    <row r="78" spans="1:14" x14ac:dyDescent="0.35">
      <c r="A78">
        <v>45</v>
      </c>
      <c r="B78" t="s">
        <v>34</v>
      </c>
      <c r="D78">
        <v>10.17</v>
      </c>
      <c r="E78" t="s">
        <v>17</v>
      </c>
      <c r="F78">
        <v>181.66</v>
      </c>
      <c r="G78">
        <v>-1.3</v>
      </c>
      <c r="H78" t="s">
        <v>18</v>
      </c>
      <c r="I78" s="2">
        <v>179.28800000000001</v>
      </c>
      <c r="J78" s="4">
        <v>3034616</v>
      </c>
      <c r="L78" s="3">
        <v>3034615.5</v>
      </c>
      <c r="N78">
        <v>78316.5</v>
      </c>
    </row>
    <row r="79" spans="1:14" x14ac:dyDescent="0.35">
      <c r="A79">
        <v>46</v>
      </c>
      <c r="B79" t="s">
        <v>35</v>
      </c>
      <c r="D79">
        <v>10.17</v>
      </c>
      <c r="E79" t="s">
        <v>17</v>
      </c>
      <c r="F79">
        <v>181.66</v>
      </c>
      <c r="G79">
        <v>1.5</v>
      </c>
      <c r="H79" t="s">
        <v>18</v>
      </c>
      <c r="I79" s="2">
        <v>184.417</v>
      </c>
      <c r="J79" s="4">
        <v>3121440</v>
      </c>
      <c r="L79" s="3">
        <v>3121440</v>
      </c>
      <c r="N79">
        <v>510653.4</v>
      </c>
    </row>
    <row r="80" spans="1:14" x14ac:dyDescent="0.35">
      <c r="A80">
        <v>47</v>
      </c>
      <c r="B80" t="s">
        <v>36</v>
      </c>
      <c r="D80">
        <v>10.17</v>
      </c>
      <c r="E80" t="s">
        <v>17</v>
      </c>
      <c r="F80">
        <v>181.66</v>
      </c>
      <c r="G80">
        <v>2.6</v>
      </c>
      <c r="H80" t="s">
        <v>18</v>
      </c>
      <c r="I80" s="2">
        <v>186.37</v>
      </c>
      <c r="J80" s="4">
        <v>3154491</v>
      </c>
      <c r="L80" s="3">
        <v>3154491.25</v>
      </c>
      <c r="N80">
        <v>160598</v>
      </c>
    </row>
    <row r="81" spans="1:20" x14ac:dyDescent="0.35">
      <c r="A81">
        <v>48</v>
      </c>
      <c r="B81" t="s">
        <v>37</v>
      </c>
      <c r="D81">
        <v>10.17</v>
      </c>
      <c r="E81" t="s">
        <v>17</v>
      </c>
      <c r="F81">
        <v>181.66</v>
      </c>
      <c r="G81">
        <v>5</v>
      </c>
      <c r="H81" t="s">
        <v>18</v>
      </c>
      <c r="I81" s="2">
        <v>190.83099999999999</v>
      </c>
      <c r="J81" s="4">
        <v>3229993</v>
      </c>
      <c r="L81" s="3">
        <v>3229993.25</v>
      </c>
      <c r="N81">
        <v>126082.8</v>
      </c>
    </row>
    <row r="82" spans="1:20" x14ac:dyDescent="0.35">
      <c r="A82">
        <v>49</v>
      </c>
      <c r="B82" t="s">
        <v>38</v>
      </c>
      <c r="D82">
        <v>10.17</v>
      </c>
      <c r="E82" t="s">
        <v>17</v>
      </c>
      <c r="F82">
        <v>181.66</v>
      </c>
      <c r="G82">
        <v>6.8</v>
      </c>
      <c r="H82" t="s">
        <v>18</v>
      </c>
      <c r="I82" s="2">
        <v>193.96100000000001</v>
      </c>
      <c r="J82" s="4">
        <v>3282971</v>
      </c>
      <c r="L82" s="3">
        <v>3282971</v>
      </c>
      <c r="N82">
        <v>245537.1</v>
      </c>
    </row>
    <row r="83" spans="1:20" x14ac:dyDescent="0.35">
      <c r="A83">
        <v>50</v>
      </c>
      <c r="B83" t="s">
        <v>39</v>
      </c>
      <c r="D83">
        <v>10.17</v>
      </c>
      <c r="E83" t="s">
        <v>17</v>
      </c>
      <c r="F83">
        <v>181.66</v>
      </c>
      <c r="G83">
        <v>-4</v>
      </c>
      <c r="H83" t="s">
        <v>18</v>
      </c>
      <c r="I83" s="2">
        <v>174.476</v>
      </c>
      <c r="J83" s="4">
        <v>2953165</v>
      </c>
      <c r="L83" s="3">
        <v>2953164.75</v>
      </c>
      <c r="N83">
        <v>42163.5</v>
      </c>
    </row>
    <row r="84" spans="1:20" x14ac:dyDescent="0.35">
      <c r="A84">
        <v>51</v>
      </c>
      <c r="B84" t="s">
        <v>40</v>
      </c>
      <c r="D84">
        <v>10.17</v>
      </c>
      <c r="E84" t="s">
        <v>17</v>
      </c>
      <c r="F84">
        <v>181.66</v>
      </c>
      <c r="G84">
        <v>-6.7</v>
      </c>
      <c r="H84" t="s">
        <v>18</v>
      </c>
      <c r="I84" s="2">
        <v>169.411</v>
      </c>
      <c r="J84" s="4">
        <v>2867447</v>
      </c>
      <c r="L84" s="3">
        <v>2867447</v>
      </c>
      <c r="N84">
        <v>53783.5</v>
      </c>
    </row>
    <row r="85" spans="1:20" x14ac:dyDescent="0.35">
      <c r="A85">
        <v>52</v>
      </c>
      <c r="B85" t="s">
        <v>41</v>
      </c>
      <c r="D85">
        <v>10.17</v>
      </c>
      <c r="E85" t="s">
        <v>17</v>
      </c>
      <c r="F85">
        <v>181.66</v>
      </c>
      <c r="G85">
        <v>-11.5</v>
      </c>
      <c r="H85" t="s">
        <v>26</v>
      </c>
      <c r="I85" s="2">
        <v>160.714</v>
      </c>
      <c r="J85" s="4">
        <v>2720233</v>
      </c>
      <c r="L85" s="3">
        <v>2720232.5</v>
      </c>
      <c r="N85">
        <v>74486.399999999994</v>
      </c>
    </row>
    <row r="86" spans="1:20" x14ac:dyDescent="0.35">
      <c r="A86">
        <v>12</v>
      </c>
      <c r="B86" t="s">
        <v>42</v>
      </c>
      <c r="D86">
        <v>10.17</v>
      </c>
      <c r="H86" t="s">
        <v>18</v>
      </c>
      <c r="I86" s="2">
        <v>7.8E-2</v>
      </c>
      <c r="J86" s="4">
        <v>1320</v>
      </c>
      <c r="L86" s="3">
        <v>1319.94</v>
      </c>
      <c r="N86">
        <v>169.3</v>
      </c>
    </row>
    <row r="87" spans="1:20" x14ac:dyDescent="0.35">
      <c r="A87">
        <v>13</v>
      </c>
      <c r="B87" t="s">
        <v>43</v>
      </c>
      <c r="D87">
        <v>10.17</v>
      </c>
      <c r="H87" t="s">
        <v>93</v>
      </c>
      <c r="I87" s="2">
        <v>3.7999999999999999E-2</v>
      </c>
      <c r="J87" s="4">
        <v>636</v>
      </c>
      <c r="L87" s="3">
        <v>635.58000000000004</v>
      </c>
      <c r="N87">
        <v>46.2</v>
      </c>
    </row>
    <row r="88" spans="1:20" x14ac:dyDescent="0.35">
      <c r="A88">
        <v>14</v>
      </c>
      <c r="B88" t="s">
        <v>44</v>
      </c>
      <c r="D88">
        <v>10.17</v>
      </c>
      <c r="H88" t="s">
        <v>93</v>
      </c>
      <c r="I88" s="2">
        <v>3.3000000000000002E-2</v>
      </c>
      <c r="J88" s="4">
        <v>557</v>
      </c>
      <c r="L88" s="3">
        <v>557.4</v>
      </c>
      <c r="N88">
        <v>51.2</v>
      </c>
    </row>
    <row r="89" spans="1:20" x14ac:dyDescent="0.35">
      <c r="A89">
        <v>15</v>
      </c>
      <c r="B89" t="s">
        <v>45</v>
      </c>
      <c r="D89">
        <v>10.17</v>
      </c>
      <c r="H89" t="s">
        <v>93</v>
      </c>
      <c r="I89" s="2">
        <v>2.7E-2</v>
      </c>
      <c r="J89" s="4">
        <v>460</v>
      </c>
      <c r="L89" s="3">
        <v>459.84</v>
      </c>
      <c r="N89">
        <v>78</v>
      </c>
      <c r="Q89" s="1" t="s">
        <v>97</v>
      </c>
      <c r="R89" s="1" t="s">
        <v>102</v>
      </c>
      <c r="S89" s="5" t="s">
        <v>103</v>
      </c>
      <c r="T89" s="6" t="s">
        <v>104</v>
      </c>
    </row>
    <row r="90" spans="1:20" x14ac:dyDescent="0.35">
      <c r="A90">
        <v>16</v>
      </c>
      <c r="B90" t="s">
        <v>46</v>
      </c>
      <c r="D90">
        <v>10.17</v>
      </c>
      <c r="F90">
        <v>235.44</v>
      </c>
      <c r="G90">
        <v>-9.3000000000000007</v>
      </c>
      <c r="H90" t="s">
        <v>18</v>
      </c>
      <c r="I90" s="2">
        <v>213.447</v>
      </c>
      <c r="J90" s="4">
        <v>3612793</v>
      </c>
      <c r="L90" s="3">
        <v>3612792.75</v>
      </c>
      <c r="N90">
        <v>581669.80000000005</v>
      </c>
      <c r="Q90" s="1">
        <v>60000</v>
      </c>
      <c r="R90" s="9">
        <f>I90*Q90/1000</f>
        <v>12806.82</v>
      </c>
      <c r="S90" s="9">
        <v>14126</v>
      </c>
      <c r="T90" s="8">
        <f>R90*100/S90</f>
        <v>90.661333710887732</v>
      </c>
    </row>
    <row r="91" spans="1:20" x14ac:dyDescent="0.35">
      <c r="A91">
        <v>17</v>
      </c>
      <c r="B91" t="s">
        <v>47</v>
      </c>
      <c r="C91" t="s">
        <v>48</v>
      </c>
      <c r="D91">
        <v>10.17</v>
      </c>
      <c r="F91">
        <v>181.62</v>
      </c>
      <c r="G91">
        <v>-14.9</v>
      </c>
      <c r="H91" t="s">
        <v>18</v>
      </c>
      <c r="I91" s="2">
        <v>154.50299999999999</v>
      </c>
      <c r="J91" s="4">
        <v>2615102</v>
      </c>
      <c r="L91" s="3">
        <v>2615101.5</v>
      </c>
      <c r="N91">
        <v>35272.400000000001</v>
      </c>
      <c r="T91" s="6">
        <f>100+G91</f>
        <v>85.1</v>
      </c>
    </row>
    <row r="92" spans="1:20" x14ac:dyDescent="0.35">
      <c r="A92">
        <v>18</v>
      </c>
      <c r="B92" t="s">
        <v>49</v>
      </c>
      <c r="C92" t="s">
        <v>50</v>
      </c>
      <c r="D92">
        <v>10.17</v>
      </c>
      <c r="F92">
        <v>181.62</v>
      </c>
      <c r="G92">
        <v>-11.6</v>
      </c>
      <c r="H92" t="s">
        <v>18</v>
      </c>
      <c r="I92" s="2">
        <v>160.47200000000001</v>
      </c>
      <c r="J92" s="4">
        <v>2716141</v>
      </c>
      <c r="L92" s="3">
        <v>2716141.25</v>
      </c>
      <c r="N92">
        <v>154712.29999999999</v>
      </c>
      <c r="T92" s="6">
        <f t="shared" ref="T92:T111" si="2">100+G92</f>
        <v>88.4</v>
      </c>
    </row>
    <row r="93" spans="1:20" x14ac:dyDescent="0.35">
      <c r="A93">
        <v>19</v>
      </c>
      <c r="B93" t="s">
        <v>51</v>
      </c>
      <c r="C93" t="s">
        <v>52</v>
      </c>
      <c r="D93">
        <v>10.17</v>
      </c>
      <c r="F93">
        <v>181.62</v>
      </c>
      <c r="G93">
        <v>-21.7</v>
      </c>
      <c r="H93" t="s">
        <v>18</v>
      </c>
      <c r="I93" s="2">
        <v>142.27099999999999</v>
      </c>
      <c r="J93" s="4">
        <v>2408070</v>
      </c>
      <c r="L93" s="3">
        <v>2408069.5</v>
      </c>
      <c r="N93">
        <v>59516.5</v>
      </c>
      <c r="T93" s="6">
        <f t="shared" si="2"/>
        <v>78.3</v>
      </c>
    </row>
    <row r="94" spans="1:20" x14ac:dyDescent="0.35">
      <c r="A94">
        <v>20</v>
      </c>
      <c r="B94" t="s">
        <v>53</v>
      </c>
      <c r="C94" t="s">
        <v>54</v>
      </c>
      <c r="D94">
        <v>10.17</v>
      </c>
      <c r="F94">
        <v>181.62</v>
      </c>
      <c r="G94">
        <v>-17.2</v>
      </c>
      <c r="H94" t="s">
        <v>18</v>
      </c>
      <c r="I94" s="2">
        <v>150.40799999999999</v>
      </c>
      <c r="J94" s="4">
        <v>2545794</v>
      </c>
      <c r="L94" s="3">
        <v>2545794</v>
      </c>
      <c r="N94">
        <v>41559.599999999999</v>
      </c>
      <c r="T94" s="6">
        <f t="shared" si="2"/>
        <v>82.8</v>
      </c>
    </row>
    <row r="95" spans="1:20" x14ac:dyDescent="0.35">
      <c r="A95">
        <v>21</v>
      </c>
      <c r="B95" t="s">
        <v>55</v>
      </c>
      <c r="C95" t="s">
        <v>56</v>
      </c>
      <c r="D95">
        <v>10.17</v>
      </c>
      <c r="F95">
        <v>181.62</v>
      </c>
      <c r="G95">
        <v>-19.5</v>
      </c>
      <c r="H95" t="s">
        <v>18</v>
      </c>
      <c r="I95" s="2">
        <v>146.15100000000001</v>
      </c>
      <c r="J95" s="4">
        <v>2473738</v>
      </c>
      <c r="L95" s="3">
        <v>2473737.5</v>
      </c>
      <c r="N95">
        <v>73815.899999999994</v>
      </c>
      <c r="T95" s="6">
        <f t="shared" si="2"/>
        <v>80.5</v>
      </c>
    </row>
    <row r="96" spans="1:20" x14ac:dyDescent="0.35">
      <c r="A96">
        <v>22</v>
      </c>
      <c r="B96" t="s">
        <v>57</v>
      </c>
      <c r="C96" t="s">
        <v>58</v>
      </c>
      <c r="D96">
        <v>10.17</v>
      </c>
      <c r="F96">
        <v>181.62</v>
      </c>
      <c r="G96">
        <v>-22.1</v>
      </c>
      <c r="H96" t="s">
        <v>18</v>
      </c>
      <c r="I96" s="2">
        <v>141.55500000000001</v>
      </c>
      <c r="J96" s="4">
        <v>2395953</v>
      </c>
      <c r="L96" s="3">
        <v>2395953.25</v>
      </c>
      <c r="N96">
        <v>89981.8</v>
      </c>
      <c r="T96" s="6">
        <f t="shared" si="2"/>
        <v>77.900000000000006</v>
      </c>
    </row>
    <row r="97" spans="1:20" x14ac:dyDescent="0.35">
      <c r="A97">
        <v>23</v>
      </c>
      <c r="B97" t="s">
        <v>59</v>
      </c>
      <c r="C97" t="s">
        <v>60</v>
      </c>
      <c r="D97">
        <v>10.17</v>
      </c>
      <c r="F97">
        <v>181.62</v>
      </c>
      <c r="G97">
        <v>-20.3</v>
      </c>
      <c r="H97" t="s">
        <v>18</v>
      </c>
      <c r="I97" s="2">
        <v>144.66200000000001</v>
      </c>
      <c r="J97" s="4">
        <v>2448548</v>
      </c>
      <c r="L97" s="3">
        <v>2448547.5</v>
      </c>
      <c r="N97">
        <v>97173.5</v>
      </c>
      <c r="T97" s="6">
        <f t="shared" si="2"/>
        <v>79.7</v>
      </c>
    </row>
    <row r="98" spans="1:20" x14ac:dyDescent="0.35">
      <c r="A98">
        <v>24</v>
      </c>
      <c r="B98" t="s">
        <v>61</v>
      </c>
      <c r="C98" t="s">
        <v>62</v>
      </c>
      <c r="D98">
        <v>10.17</v>
      </c>
      <c r="F98">
        <v>181.62</v>
      </c>
      <c r="G98">
        <v>-23.8</v>
      </c>
      <c r="H98" t="s">
        <v>18</v>
      </c>
      <c r="I98" s="2">
        <v>138.31399999999999</v>
      </c>
      <c r="J98" s="4">
        <v>2341092</v>
      </c>
      <c r="L98" s="3">
        <v>2341091.75</v>
      </c>
      <c r="N98">
        <v>370393.3</v>
      </c>
      <c r="T98" s="6">
        <f t="shared" si="2"/>
        <v>76.2</v>
      </c>
    </row>
    <row r="99" spans="1:20" x14ac:dyDescent="0.35">
      <c r="A99">
        <v>25</v>
      </c>
      <c r="B99" t="s">
        <v>63</v>
      </c>
      <c r="C99" t="s">
        <v>64</v>
      </c>
      <c r="D99">
        <v>10.17</v>
      </c>
      <c r="F99">
        <v>181.62</v>
      </c>
      <c r="G99">
        <v>-21.2</v>
      </c>
      <c r="H99" t="s">
        <v>18</v>
      </c>
      <c r="I99" s="2">
        <v>143.06399999999999</v>
      </c>
      <c r="J99" s="4">
        <v>2421494</v>
      </c>
      <c r="L99" s="3">
        <v>2421493.75</v>
      </c>
      <c r="N99">
        <v>277904.3</v>
      </c>
      <c r="T99" s="6">
        <f t="shared" si="2"/>
        <v>78.8</v>
      </c>
    </row>
    <row r="100" spans="1:20" x14ac:dyDescent="0.35">
      <c r="A100">
        <v>26</v>
      </c>
      <c r="B100" t="s">
        <v>65</v>
      </c>
      <c r="C100" t="s">
        <v>66</v>
      </c>
      <c r="D100">
        <v>10.17</v>
      </c>
      <c r="F100">
        <v>181.62</v>
      </c>
      <c r="G100">
        <v>-16</v>
      </c>
      <c r="H100" t="s">
        <v>18</v>
      </c>
      <c r="I100" s="2">
        <v>152.542</v>
      </c>
      <c r="J100" s="4">
        <v>2581910</v>
      </c>
      <c r="L100" s="3">
        <v>2581909.75</v>
      </c>
      <c r="N100">
        <v>277413</v>
      </c>
      <c r="T100" s="6">
        <f t="shared" si="2"/>
        <v>84</v>
      </c>
    </row>
    <row r="101" spans="1:20" x14ac:dyDescent="0.35">
      <c r="A101">
        <v>27</v>
      </c>
      <c r="B101" t="s">
        <v>67</v>
      </c>
      <c r="C101" t="s">
        <v>68</v>
      </c>
      <c r="D101">
        <v>10.17</v>
      </c>
      <c r="F101">
        <v>181.62</v>
      </c>
      <c r="G101">
        <v>-15.8</v>
      </c>
      <c r="H101" t="s">
        <v>18</v>
      </c>
      <c r="I101" s="2">
        <v>152.92599999999999</v>
      </c>
      <c r="J101" s="4">
        <v>2588418</v>
      </c>
      <c r="L101" s="3">
        <v>2588418</v>
      </c>
      <c r="N101">
        <v>111418.2</v>
      </c>
      <c r="T101" s="6">
        <f t="shared" si="2"/>
        <v>84.2</v>
      </c>
    </row>
    <row r="102" spans="1:20" x14ac:dyDescent="0.35">
      <c r="A102">
        <v>28</v>
      </c>
      <c r="B102" t="s">
        <v>69</v>
      </c>
      <c r="D102">
        <v>10.17</v>
      </c>
      <c r="H102" t="s">
        <v>18</v>
      </c>
      <c r="I102" s="2">
        <v>0.14599999999999999</v>
      </c>
      <c r="J102" s="4">
        <v>2470</v>
      </c>
      <c r="L102" s="3">
        <v>2469.7600000000002</v>
      </c>
      <c r="N102">
        <v>207.1</v>
      </c>
    </row>
    <row r="103" spans="1:20" x14ac:dyDescent="0.35">
      <c r="A103">
        <v>29</v>
      </c>
      <c r="B103" t="s">
        <v>70</v>
      </c>
      <c r="C103" t="s">
        <v>71</v>
      </c>
      <c r="D103">
        <v>10.17</v>
      </c>
      <c r="F103">
        <v>181.62</v>
      </c>
      <c r="G103">
        <v>3.4</v>
      </c>
      <c r="H103" t="s">
        <v>18</v>
      </c>
      <c r="I103" s="2">
        <v>187.74100000000001</v>
      </c>
      <c r="J103" s="4">
        <v>3177697</v>
      </c>
      <c r="L103" s="3">
        <v>3177697</v>
      </c>
      <c r="N103">
        <v>51147752</v>
      </c>
      <c r="T103" s="6">
        <f t="shared" si="2"/>
        <v>103.4</v>
      </c>
    </row>
    <row r="104" spans="1:20" x14ac:dyDescent="0.35">
      <c r="A104">
        <v>30</v>
      </c>
      <c r="B104" t="s">
        <v>72</v>
      </c>
      <c r="C104" t="s">
        <v>73</v>
      </c>
      <c r="D104">
        <v>10.17</v>
      </c>
      <c r="F104">
        <v>181.62</v>
      </c>
      <c r="G104">
        <v>0.8</v>
      </c>
      <c r="H104" t="s">
        <v>18</v>
      </c>
      <c r="I104" s="2">
        <v>183.02799999999999</v>
      </c>
      <c r="J104" s="4">
        <v>3097922</v>
      </c>
      <c r="L104" s="3">
        <v>3097922.25</v>
      </c>
      <c r="N104">
        <v>375389.6</v>
      </c>
      <c r="T104" s="6">
        <f t="shared" si="2"/>
        <v>100.8</v>
      </c>
    </row>
    <row r="105" spans="1:20" x14ac:dyDescent="0.35">
      <c r="A105">
        <v>31</v>
      </c>
      <c r="B105" t="s">
        <v>74</v>
      </c>
      <c r="C105" t="s">
        <v>75</v>
      </c>
      <c r="D105">
        <v>10.17</v>
      </c>
      <c r="F105">
        <v>181.62</v>
      </c>
      <c r="G105">
        <v>-1.4</v>
      </c>
      <c r="H105" t="s">
        <v>18</v>
      </c>
      <c r="I105" s="2">
        <v>179.08600000000001</v>
      </c>
      <c r="J105" s="4">
        <v>3031204</v>
      </c>
      <c r="L105" s="3">
        <v>3031203.5</v>
      </c>
      <c r="N105">
        <v>157994.4</v>
      </c>
      <c r="T105" s="6">
        <f t="shared" si="2"/>
        <v>98.6</v>
      </c>
    </row>
    <row r="106" spans="1:20" x14ac:dyDescent="0.35">
      <c r="A106">
        <v>32</v>
      </c>
      <c r="B106" t="s">
        <v>76</v>
      </c>
      <c r="C106" t="s">
        <v>77</v>
      </c>
      <c r="D106">
        <v>10.17</v>
      </c>
      <c r="F106">
        <v>181.62</v>
      </c>
      <c r="G106">
        <v>-5</v>
      </c>
      <c r="H106" t="s">
        <v>18</v>
      </c>
      <c r="I106" s="2">
        <v>172.523</v>
      </c>
      <c r="J106" s="4">
        <v>2920108</v>
      </c>
      <c r="L106" s="3">
        <v>2920107.75</v>
      </c>
      <c r="N106">
        <v>31840.2</v>
      </c>
      <c r="T106" s="6">
        <f t="shared" si="2"/>
        <v>95</v>
      </c>
    </row>
    <row r="107" spans="1:20" x14ac:dyDescent="0.35">
      <c r="A107">
        <v>33</v>
      </c>
      <c r="B107" t="s">
        <v>78</v>
      </c>
      <c r="C107" t="s">
        <v>79</v>
      </c>
      <c r="D107">
        <v>10.17</v>
      </c>
      <c r="F107">
        <v>181.62</v>
      </c>
      <c r="G107">
        <v>-3.4</v>
      </c>
      <c r="H107" t="s">
        <v>18</v>
      </c>
      <c r="I107" s="2">
        <v>175.47200000000001</v>
      </c>
      <c r="J107" s="4">
        <v>2970031</v>
      </c>
      <c r="L107" s="3">
        <v>2970030.75</v>
      </c>
      <c r="N107">
        <v>58974.8</v>
      </c>
      <c r="T107" s="6">
        <f t="shared" si="2"/>
        <v>96.6</v>
      </c>
    </row>
    <row r="108" spans="1:20" x14ac:dyDescent="0.35">
      <c r="A108">
        <v>34</v>
      </c>
      <c r="B108" t="s">
        <v>80</v>
      </c>
      <c r="C108" t="s">
        <v>81</v>
      </c>
      <c r="D108">
        <v>10.17</v>
      </c>
      <c r="F108">
        <v>181.62</v>
      </c>
      <c r="G108">
        <v>-4.8</v>
      </c>
      <c r="H108" t="s">
        <v>18</v>
      </c>
      <c r="I108" s="2">
        <v>172.87299999999999</v>
      </c>
      <c r="J108" s="4">
        <v>2926031</v>
      </c>
      <c r="L108" s="3">
        <v>2926030.75</v>
      </c>
      <c r="N108">
        <v>47730</v>
      </c>
      <c r="T108" s="6">
        <f t="shared" si="2"/>
        <v>95.2</v>
      </c>
    </row>
    <row r="109" spans="1:20" x14ac:dyDescent="0.35">
      <c r="A109">
        <v>35</v>
      </c>
      <c r="B109" t="s">
        <v>82</v>
      </c>
      <c r="C109" t="s">
        <v>83</v>
      </c>
      <c r="D109">
        <v>10.17</v>
      </c>
      <c r="F109">
        <v>181.62</v>
      </c>
      <c r="G109">
        <v>-5.6</v>
      </c>
      <c r="H109" t="s">
        <v>18</v>
      </c>
      <c r="I109" s="2">
        <v>171.53899999999999</v>
      </c>
      <c r="J109" s="4">
        <v>2903460</v>
      </c>
      <c r="L109" s="3">
        <v>2903459.75</v>
      </c>
      <c r="N109">
        <v>203858.7</v>
      </c>
      <c r="T109" s="6">
        <f t="shared" si="2"/>
        <v>94.4</v>
      </c>
    </row>
    <row r="110" spans="1:20" x14ac:dyDescent="0.35">
      <c r="A110">
        <v>36</v>
      </c>
      <c r="B110" t="s">
        <v>84</v>
      </c>
      <c r="C110" t="s">
        <v>85</v>
      </c>
      <c r="D110">
        <v>10.17</v>
      </c>
      <c r="F110">
        <v>181.62</v>
      </c>
      <c r="G110">
        <v>-7.8</v>
      </c>
      <c r="H110" t="s">
        <v>18</v>
      </c>
      <c r="I110" s="2">
        <v>167.501</v>
      </c>
      <c r="J110" s="4">
        <v>2835110</v>
      </c>
      <c r="L110" s="3">
        <v>2835109.5</v>
      </c>
      <c r="N110">
        <v>21466.6</v>
      </c>
      <c r="T110" s="6">
        <f t="shared" si="2"/>
        <v>92.2</v>
      </c>
    </row>
    <row r="111" spans="1:20" x14ac:dyDescent="0.35">
      <c r="A111">
        <v>37</v>
      </c>
      <c r="B111" t="s">
        <v>86</v>
      </c>
      <c r="C111" t="s">
        <v>87</v>
      </c>
      <c r="D111">
        <v>10.17</v>
      </c>
      <c r="F111">
        <v>181.62</v>
      </c>
      <c r="G111">
        <v>-10.6</v>
      </c>
      <c r="H111" t="s">
        <v>18</v>
      </c>
      <c r="I111" s="2">
        <v>162.29900000000001</v>
      </c>
      <c r="J111" s="4">
        <v>2747064</v>
      </c>
      <c r="L111" s="3">
        <v>2747063.75</v>
      </c>
      <c r="N111">
        <v>53830</v>
      </c>
      <c r="T111" s="6">
        <f t="shared" si="2"/>
        <v>89.4</v>
      </c>
    </row>
    <row r="112" spans="1:20" x14ac:dyDescent="0.35">
      <c r="A112">
        <v>38</v>
      </c>
      <c r="B112" t="s">
        <v>88</v>
      </c>
      <c r="D112">
        <v>10.17</v>
      </c>
      <c r="H112" t="s">
        <v>93</v>
      </c>
      <c r="I112" s="2">
        <v>7.5999999999999998E-2</v>
      </c>
      <c r="J112" s="4">
        <v>1289</v>
      </c>
      <c r="L112" s="3">
        <v>1288.78</v>
      </c>
      <c r="N112">
        <v>33</v>
      </c>
    </row>
    <row r="113" spans="1:15" x14ac:dyDescent="0.35">
      <c r="A113">
        <v>39</v>
      </c>
      <c r="B113" t="s">
        <v>89</v>
      </c>
      <c r="D113">
        <v>10.17</v>
      </c>
      <c r="H113" t="s">
        <v>93</v>
      </c>
      <c r="I113" s="2">
        <v>2.9000000000000001E-2</v>
      </c>
      <c r="J113" s="4">
        <v>482</v>
      </c>
      <c r="L113" s="3">
        <v>482.44</v>
      </c>
      <c r="N113">
        <v>15.8</v>
      </c>
    </row>
    <row r="114" spans="1:15" x14ac:dyDescent="0.35">
      <c r="A114">
        <v>40</v>
      </c>
      <c r="B114" t="s">
        <v>90</v>
      </c>
      <c r="D114">
        <v>10.17</v>
      </c>
      <c r="H114" t="s">
        <v>93</v>
      </c>
      <c r="I114" s="2">
        <v>2.5999999999999999E-2</v>
      </c>
      <c r="J114" s="4">
        <v>435</v>
      </c>
      <c r="L114" s="3">
        <v>435.29</v>
      </c>
      <c r="N114">
        <v>43.5</v>
      </c>
    </row>
    <row r="115" spans="1:15" x14ac:dyDescent="0.35">
      <c r="A115">
        <v>41</v>
      </c>
      <c r="B115" t="s">
        <v>91</v>
      </c>
      <c r="D115">
        <v>10.17</v>
      </c>
      <c r="H115" t="s">
        <v>93</v>
      </c>
      <c r="I115" s="2">
        <v>1.7999999999999999E-2</v>
      </c>
      <c r="J115" s="4">
        <v>311</v>
      </c>
      <c r="L115" s="3">
        <v>311.08999999999997</v>
      </c>
      <c r="N115">
        <v>19.899999999999999</v>
      </c>
    </row>
    <row r="117" spans="1:15" x14ac:dyDescent="0.35">
      <c r="A117" t="s">
        <v>94</v>
      </c>
    </row>
    <row r="119" spans="1:15" x14ac:dyDescent="0.35">
      <c r="B119" t="s">
        <v>3</v>
      </c>
      <c r="C119" t="s">
        <v>4</v>
      </c>
      <c r="D119" t="s">
        <v>5</v>
      </c>
      <c r="E119" t="s">
        <v>6</v>
      </c>
      <c r="F119" t="s">
        <v>96</v>
      </c>
      <c r="G119" t="s">
        <v>7</v>
      </c>
      <c r="H119" t="s">
        <v>8</v>
      </c>
      <c r="I119" s="2" t="s">
        <v>9</v>
      </c>
      <c r="J119" s="4" t="s">
        <v>10</v>
      </c>
      <c r="K119" s="4" t="s">
        <v>11</v>
      </c>
      <c r="L119" s="3" t="s">
        <v>12</v>
      </c>
      <c r="M119" s="4" t="s">
        <v>13</v>
      </c>
      <c r="N119" t="s">
        <v>14</v>
      </c>
      <c r="O119" t="s">
        <v>15</v>
      </c>
    </row>
    <row r="120" spans="1:15" x14ac:dyDescent="0.35">
      <c r="A120">
        <v>1</v>
      </c>
      <c r="B120" t="s">
        <v>16</v>
      </c>
      <c r="D120">
        <v>6.06</v>
      </c>
      <c r="E120" t="s">
        <v>17</v>
      </c>
      <c r="F120">
        <v>4.05</v>
      </c>
      <c r="G120">
        <v>0.2</v>
      </c>
      <c r="H120" t="s">
        <v>18</v>
      </c>
      <c r="I120" s="2">
        <v>4.056</v>
      </c>
      <c r="J120" s="4">
        <v>21764</v>
      </c>
      <c r="K120" s="4">
        <v>532653</v>
      </c>
      <c r="L120" s="3">
        <v>7.43</v>
      </c>
      <c r="M120" s="4">
        <v>22543</v>
      </c>
      <c r="N120">
        <v>474.3</v>
      </c>
      <c r="O120">
        <v>0.97</v>
      </c>
    </row>
    <row r="121" spans="1:15" x14ac:dyDescent="0.35">
      <c r="A121">
        <v>2</v>
      </c>
      <c r="B121" t="s">
        <v>19</v>
      </c>
      <c r="D121">
        <v>6.06</v>
      </c>
      <c r="E121" t="s">
        <v>17</v>
      </c>
      <c r="F121">
        <v>4.05</v>
      </c>
      <c r="G121">
        <v>0.6</v>
      </c>
      <c r="H121" t="s">
        <v>18</v>
      </c>
      <c r="I121" s="2">
        <v>4.0759999999999996</v>
      </c>
      <c r="J121" s="4">
        <v>22753</v>
      </c>
      <c r="K121" s="4">
        <v>554099</v>
      </c>
      <c r="L121" s="3">
        <v>7.47</v>
      </c>
      <c r="M121" s="4">
        <v>21841</v>
      </c>
      <c r="N121">
        <v>1556.4</v>
      </c>
      <c r="O121">
        <v>1.04</v>
      </c>
    </row>
    <row r="122" spans="1:15" x14ac:dyDescent="0.35">
      <c r="A122">
        <v>3</v>
      </c>
      <c r="B122" t="s">
        <v>20</v>
      </c>
      <c r="D122">
        <v>6.06</v>
      </c>
      <c r="E122" t="s">
        <v>17</v>
      </c>
      <c r="F122">
        <v>14.17</v>
      </c>
      <c r="G122">
        <v>-3</v>
      </c>
      <c r="H122" t="s">
        <v>18</v>
      </c>
      <c r="I122" s="2">
        <v>13.738</v>
      </c>
      <c r="J122" s="4">
        <v>79275</v>
      </c>
      <c r="K122" s="4">
        <v>557098</v>
      </c>
      <c r="L122" s="3">
        <v>25.89</v>
      </c>
      <c r="M122" s="4">
        <v>81221</v>
      </c>
      <c r="N122">
        <v>1428.5</v>
      </c>
      <c r="O122">
        <v>0.98</v>
      </c>
    </row>
    <row r="123" spans="1:15" x14ac:dyDescent="0.35">
      <c r="A123">
        <v>4</v>
      </c>
      <c r="B123" t="s">
        <v>21</v>
      </c>
      <c r="D123">
        <v>6.06</v>
      </c>
      <c r="E123" t="s">
        <v>17</v>
      </c>
      <c r="F123">
        <v>14.17</v>
      </c>
      <c r="G123">
        <v>-4.0999999999999996</v>
      </c>
      <c r="H123" t="s">
        <v>18</v>
      </c>
      <c r="I123" s="2">
        <v>13.587999999999999</v>
      </c>
      <c r="J123" s="4">
        <v>81568</v>
      </c>
      <c r="K123" s="4">
        <v>579618</v>
      </c>
      <c r="L123" s="3">
        <v>25.6</v>
      </c>
      <c r="M123" s="4">
        <v>83159</v>
      </c>
      <c r="N123">
        <v>7046.6</v>
      </c>
      <c r="O123">
        <v>0.98</v>
      </c>
    </row>
    <row r="124" spans="1:15" x14ac:dyDescent="0.35">
      <c r="A124">
        <v>5</v>
      </c>
      <c r="B124" t="s">
        <v>22</v>
      </c>
      <c r="D124">
        <v>6.06</v>
      </c>
      <c r="E124" t="s">
        <v>17</v>
      </c>
      <c r="F124">
        <v>80.959999999999994</v>
      </c>
      <c r="G124">
        <v>-4.2</v>
      </c>
      <c r="H124" t="s">
        <v>18</v>
      </c>
      <c r="I124" s="2">
        <v>77.543999999999997</v>
      </c>
      <c r="J124" s="4">
        <v>466483</v>
      </c>
      <c r="K124" s="4">
        <v>577301</v>
      </c>
      <c r="L124" s="3">
        <v>147</v>
      </c>
      <c r="M124" s="4">
        <v>471641</v>
      </c>
      <c r="N124">
        <v>21524.400000000001</v>
      </c>
      <c r="O124">
        <v>0.99</v>
      </c>
    </row>
    <row r="125" spans="1:15" x14ac:dyDescent="0.35">
      <c r="A125">
        <v>6</v>
      </c>
      <c r="B125" t="s">
        <v>23</v>
      </c>
      <c r="D125">
        <v>6.06</v>
      </c>
      <c r="E125" t="s">
        <v>17</v>
      </c>
      <c r="F125">
        <v>161.91999999999999</v>
      </c>
      <c r="G125">
        <v>1.1000000000000001</v>
      </c>
      <c r="H125" t="s">
        <v>18</v>
      </c>
      <c r="I125" s="2">
        <v>163.66399999999999</v>
      </c>
      <c r="J125" s="4">
        <v>967265</v>
      </c>
      <c r="K125" s="4">
        <v>569292</v>
      </c>
      <c r="L125" s="3">
        <v>309.08999999999997</v>
      </c>
      <c r="M125" s="4">
        <v>979382</v>
      </c>
      <c r="N125">
        <v>10988</v>
      </c>
      <c r="O125">
        <v>0.99</v>
      </c>
    </row>
    <row r="126" spans="1:15" x14ac:dyDescent="0.35">
      <c r="A126">
        <v>7</v>
      </c>
      <c r="B126" t="s">
        <v>24</v>
      </c>
      <c r="D126">
        <v>6.06</v>
      </c>
      <c r="E126" t="s">
        <v>17</v>
      </c>
      <c r="F126">
        <v>404.8</v>
      </c>
      <c r="G126">
        <v>-2.8</v>
      </c>
      <c r="H126" t="s">
        <v>18</v>
      </c>
      <c r="I126" s="2">
        <v>393.46499999999997</v>
      </c>
      <c r="J126" s="4">
        <v>2268506</v>
      </c>
      <c r="K126" s="4">
        <v>562307</v>
      </c>
      <c r="L126" s="3">
        <v>733.92</v>
      </c>
      <c r="M126" s="4">
        <v>2310161</v>
      </c>
      <c r="N126">
        <v>57461.5</v>
      </c>
      <c r="O126">
        <v>0.98</v>
      </c>
    </row>
    <row r="127" spans="1:15" x14ac:dyDescent="0.35">
      <c r="A127">
        <v>8</v>
      </c>
      <c r="B127" t="s">
        <v>25</v>
      </c>
      <c r="D127">
        <v>6.06</v>
      </c>
      <c r="E127" t="s">
        <v>17</v>
      </c>
      <c r="F127">
        <v>1012</v>
      </c>
      <c r="G127">
        <v>0.9</v>
      </c>
      <c r="H127" t="s">
        <v>18</v>
      </c>
      <c r="I127" s="2">
        <v>1021.249</v>
      </c>
      <c r="J127" s="4">
        <v>5489653</v>
      </c>
      <c r="K127" s="4">
        <v>543557</v>
      </c>
      <c r="L127" s="3">
        <v>1837.3</v>
      </c>
      <c r="M127" s="4">
        <v>5573154</v>
      </c>
      <c r="N127">
        <v>249138.5</v>
      </c>
      <c r="O127">
        <v>0.99</v>
      </c>
    </row>
    <row r="128" spans="1:15" x14ac:dyDescent="0.35">
      <c r="A128">
        <v>9</v>
      </c>
      <c r="B128" t="s">
        <v>27</v>
      </c>
      <c r="D128">
        <v>6.06</v>
      </c>
      <c r="E128" t="s">
        <v>17</v>
      </c>
      <c r="F128">
        <v>3036</v>
      </c>
      <c r="G128">
        <v>3.4</v>
      </c>
      <c r="H128" t="s">
        <v>18</v>
      </c>
      <c r="I128" s="2">
        <v>3138.36</v>
      </c>
      <c r="J128" s="4">
        <v>13702903</v>
      </c>
      <c r="K128" s="4">
        <v>504506</v>
      </c>
      <c r="L128" s="3">
        <v>4941.13</v>
      </c>
      <c r="M128" s="4">
        <v>13139631</v>
      </c>
      <c r="N128">
        <v>477573.1</v>
      </c>
      <c r="O128">
        <v>1.04</v>
      </c>
    </row>
    <row r="129" spans="1:15" x14ac:dyDescent="0.35">
      <c r="A129">
        <v>10</v>
      </c>
      <c r="B129" t="s">
        <v>29</v>
      </c>
      <c r="D129">
        <v>6.06</v>
      </c>
      <c r="E129" t="s">
        <v>17</v>
      </c>
      <c r="F129">
        <v>3036</v>
      </c>
      <c r="G129">
        <v>-4.3</v>
      </c>
      <c r="H129" t="s">
        <v>18</v>
      </c>
      <c r="I129" s="2">
        <v>2905.3229999999999</v>
      </c>
      <c r="J129" s="4">
        <v>12923221</v>
      </c>
      <c r="K129" s="4">
        <v>506013</v>
      </c>
      <c r="L129" s="3">
        <v>4646.1099999999997</v>
      </c>
      <c r="M129" s="4">
        <v>13875288</v>
      </c>
      <c r="N129">
        <v>740365.9</v>
      </c>
      <c r="O129">
        <v>0.93</v>
      </c>
    </row>
    <row r="130" spans="1:15" x14ac:dyDescent="0.35">
      <c r="A130">
        <v>11</v>
      </c>
      <c r="B130" t="s">
        <v>30</v>
      </c>
      <c r="D130">
        <v>6.06</v>
      </c>
      <c r="E130" t="s">
        <v>17</v>
      </c>
      <c r="F130">
        <v>5060</v>
      </c>
      <c r="G130">
        <v>6.2</v>
      </c>
      <c r="H130" t="s">
        <v>18</v>
      </c>
      <c r="I130" s="2">
        <v>5371.7179999999998</v>
      </c>
      <c r="J130" s="4">
        <v>20892508</v>
      </c>
      <c r="K130" s="4">
        <v>529096</v>
      </c>
      <c r="L130" s="3">
        <v>7183.51</v>
      </c>
      <c r="M130" s="4">
        <v>21276148</v>
      </c>
      <c r="N130">
        <v>716107.6</v>
      </c>
      <c r="O130">
        <v>0.98</v>
      </c>
    </row>
    <row r="131" spans="1:15" x14ac:dyDescent="0.35">
      <c r="A131">
        <v>42</v>
      </c>
      <c r="B131" t="s">
        <v>31</v>
      </c>
      <c r="D131">
        <v>6.06</v>
      </c>
      <c r="E131" t="s">
        <v>17</v>
      </c>
      <c r="F131">
        <v>4.05</v>
      </c>
      <c r="G131">
        <v>2.4</v>
      </c>
      <c r="H131" t="s">
        <v>18</v>
      </c>
      <c r="I131" s="2">
        <v>4.1479999999999997</v>
      </c>
      <c r="J131" s="4">
        <v>26585</v>
      </c>
      <c r="K131" s="4">
        <v>635636</v>
      </c>
      <c r="L131" s="3">
        <v>7.61</v>
      </c>
      <c r="M131" s="4">
        <v>27635</v>
      </c>
      <c r="N131">
        <v>1711.5</v>
      </c>
      <c r="O131">
        <v>0.96</v>
      </c>
    </row>
    <row r="132" spans="1:15" x14ac:dyDescent="0.35">
      <c r="A132">
        <v>43</v>
      </c>
      <c r="B132" t="s">
        <v>32</v>
      </c>
      <c r="D132">
        <v>6.06</v>
      </c>
      <c r="E132" t="s">
        <v>17</v>
      </c>
      <c r="F132">
        <v>4.05</v>
      </c>
      <c r="G132">
        <v>2.8</v>
      </c>
      <c r="H132" t="s">
        <v>18</v>
      </c>
      <c r="I132" s="2">
        <v>4.1630000000000003</v>
      </c>
      <c r="J132" s="4">
        <v>26557</v>
      </c>
      <c r="K132" s="4">
        <v>632567</v>
      </c>
      <c r="L132" s="3">
        <v>7.64</v>
      </c>
      <c r="M132" s="4">
        <v>27543</v>
      </c>
      <c r="N132">
        <v>1769.5</v>
      </c>
      <c r="O132">
        <v>0.96</v>
      </c>
    </row>
    <row r="133" spans="1:15" x14ac:dyDescent="0.35">
      <c r="A133">
        <v>44</v>
      </c>
      <c r="B133" t="s">
        <v>33</v>
      </c>
      <c r="D133">
        <v>6.06</v>
      </c>
      <c r="E133" t="s">
        <v>17</v>
      </c>
      <c r="F133">
        <v>14.17</v>
      </c>
      <c r="G133">
        <v>1.2</v>
      </c>
      <c r="H133" t="s">
        <v>18</v>
      </c>
      <c r="I133" s="2">
        <v>14.334</v>
      </c>
      <c r="J133" s="4">
        <v>95693</v>
      </c>
      <c r="K133" s="4">
        <v>644243</v>
      </c>
      <c r="L133" s="3">
        <v>27.02</v>
      </c>
      <c r="M133" s="4">
        <v>98023</v>
      </c>
      <c r="N133">
        <v>5407.1</v>
      </c>
      <c r="O133">
        <v>0.98</v>
      </c>
    </row>
    <row r="134" spans="1:15" x14ac:dyDescent="0.35">
      <c r="A134">
        <v>45</v>
      </c>
      <c r="B134" t="s">
        <v>34</v>
      </c>
      <c r="D134">
        <v>6.06</v>
      </c>
      <c r="E134" t="s">
        <v>17</v>
      </c>
      <c r="F134">
        <v>14.17</v>
      </c>
      <c r="G134">
        <v>1.9</v>
      </c>
      <c r="H134" t="s">
        <v>18</v>
      </c>
      <c r="I134" s="2">
        <v>14.44</v>
      </c>
      <c r="J134" s="4">
        <v>95596</v>
      </c>
      <c r="K134" s="4">
        <v>638805</v>
      </c>
      <c r="L134" s="3">
        <v>27.22</v>
      </c>
      <c r="M134" s="4">
        <v>97265</v>
      </c>
      <c r="N134">
        <v>2392.8000000000002</v>
      </c>
      <c r="O134">
        <v>0.98</v>
      </c>
    </row>
    <row r="135" spans="1:15" x14ac:dyDescent="0.35">
      <c r="A135">
        <v>46</v>
      </c>
      <c r="B135" t="s">
        <v>35</v>
      </c>
      <c r="D135">
        <v>6.06</v>
      </c>
      <c r="E135" t="s">
        <v>17</v>
      </c>
      <c r="F135">
        <v>80.959999999999994</v>
      </c>
      <c r="G135">
        <v>-0.4</v>
      </c>
      <c r="H135" t="s">
        <v>18</v>
      </c>
      <c r="I135" s="2">
        <v>80.656999999999996</v>
      </c>
      <c r="J135" s="4">
        <v>503211</v>
      </c>
      <c r="K135" s="4">
        <v>598774</v>
      </c>
      <c r="L135" s="3">
        <v>152.88999999999999</v>
      </c>
      <c r="M135" s="4">
        <v>510757</v>
      </c>
      <c r="N135">
        <v>7455.5</v>
      </c>
      <c r="O135">
        <v>0.99</v>
      </c>
    </row>
    <row r="136" spans="1:15" x14ac:dyDescent="0.35">
      <c r="A136">
        <v>47</v>
      </c>
      <c r="B136" t="s">
        <v>36</v>
      </c>
      <c r="D136">
        <v>6.06</v>
      </c>
      <c r="E136" t="s">
        <v>17</v>
      </c>
      <c r="F136">
        <v>161.91999999999999</v>
      </c>
      <c r="G136">
        <v>3.7</v>
      </c>
      <c r="H136" t="s">
        <v>18</v>
      </c>
      <c r="I136" s="2">
        <v>167.899</v>
      </c>
      <c r="J136" s="4">
        <v>1054553</v>
      </c>
      <c r="K136" s="4">
        <v>605138</v>
      </c>
      <c r="L136" s="3">
        <v>317.02999999999997</v>
      </c>
      <c r="M136" s="4">
        <v>1069578</v>
      </c>
      <c r="N136">
        <v>55275.3</v>
      </c>
      <c r="O136">
        <v>0.99</v>
      </c>
    </row>
    <row r="137" spans="1:15" x14ac:dyDescent="0.35">
      <c r="A137">
        <v>48</v>
      </c>
      <c r="B137" t="s">
        <v>37</v>
      </c>
      <c r="D137">
        <v>6.06</v>
      </c>
      <c r="E137" t="s">
        <v>17</v>
      </c>
      <c r="F137">
        <v>404.8</v>
      </c>
      <c r="G137">
        <v>-1.2</v>
      </c>
      <c r="H137" t="s">
        <v>18</v>
      </c>
      <c r="I137" s="2">
        <v>399.79300000000001</v>
      </c>
      <c r="J137" s="4">
        <v>2455510</v>
      </c>
      <c r="K137" s="4">
        <v>599237</v>
      </c>
      <c r="L137" s="3">
        <v>745.46</v>
      </c>
      <c r="M137" s="4">
        <v>2488163</v>
      </c>
      <c r="N137">
        <v>31309.3</v>
      </c>
      <c r="O137">
        <v>0.99</v>
      </c>
    </row>
    <row r="138" spans="1:15" x14ac:dyDescent="0.35">
      <c r="A138">
        <v>49</v>
      </c>
      <c r="B138" t="s">
        <v>38</v>
      </c>
      <c r="D138">
        <v>6.06</v>
      </c>
      <c r="E138" t="s">
        <v>17</v>
      </c>
      <c r="F138">
        <v>1012</v>
      </c>
      <c r="G138">
        <v>1.6</v>
      </c>
      <c r="H138" t="s">
        <v>18</v>
      </c>
      <c r="I138" s="2">
        <v>1028.626</v>
      </c>
      <c r="J138" s="4">
        <v>5795389</v>
      </c>
      <c r="K138" s="4">
        <v>569962</v>
      </c>
      <c r="L138" s="3">
        <v>1849.77</v>
      </c>
      <c r="M138" s="4">
        <v>5890383</v>
      </c>
      <c r="N138">
        <v>171388.6</v>
      </c>
      <c r="O138">
        <v>0.98</v>
      </c>
    </row>
    <row r="139" spans="1:15" x14ac:dyDescent="0.35">
      <c r="A139">
        <v>50</v>
      </c>
      <c r="B139" t="s">
        <v>39</v>
      </c>
      <c r="D139">
        <v>6.06</v>
      </c>
      <c r="E139" t="s">
        <v>17</v>
      </c>
      <c r="F139">
        <v>3036</v>
      </c>
      <c r="G139">
        <v>-4.0999999999999996</v>
      </c>
      <c r="H139" t="s">
        <v>18</v>
      </c>
      <c r="I139" s="2">
        <v>2910.4079999999999</v>
      </c>
      <c r="J139" s="4">
        <v>13783408</v>
      </c>
      <c r="K139" s="4">
        <v>538933</v>
      </c>
      <c r="L139" s="3">
        <v>4652.67</v>
      </c>
      <c r="M139" s="4">
        <v>14771617</v>
      </c>
      <c r="N139">
        <v>1072920.3999999999</v>
      </c>
      <c r="O139">
        <v>0.93</v>
      </c>
    </row>
    <row r="140" spans="1:15" x14ac:dyDescent="0.35">
      <c r="A140">
        <v>51</v>
      </c>
      <c r="B140" t="s">
        <v>40</v>
      </c>
      <c r="D140">
        <v>6.06</v>
      </c>
      <c r="E140" t="s">
        <v>17</v>
      </c>
      <c r="F140">
        <v>3036</v>
      </c>
      <c r="G140">
        <v>4.3</v>
      </c>
      <c r="H140" t="s">
        <v>18</v>
      </c>
      <c r="I140" s="2">
        <v>3167.1869999999999</v>
      </c>
      <c r="J140" s="4">
        <v>14716290</v>
      </c>
      <c r="K140" s="4">
        <v>537931</v>
      </c>
      <c r="L140" s="3">
        <v>4976.82</v>
      </c>
      <c r="M140" s="4">
        <v>14832371</v>
      </c>
      <c r="N140">
        <v>176498.6</v>
      </c>
      <c r="O140">
        <v>0.99</v>
      </c>
    </row>
    <row r="141" spans="1:15" x14ac:dyDescent="0.35">
      <c r="A141">
        <v>52</v>
      </c>
      <c r="B141" t="s">
        <v>41</v>
      </c>
      <c r="D141">
        <v>6.05</v>
      </c>
      <c r="E141" t="s">
        <v>17</v>
      </c>
      <c r="F141">
        <v>5060</v>
      </c>
      <c r="G141">
        <v>-5.4</v>
      </c>
      <c r="H141" t="s">
        <v>18</v>
      </c>
      <c r="I141" s="2">
        <v>4787.3810000000003</v>
      </c>
      <c r="J141" s="4">
        <v>19924048</v>
      </c>
      <c r="K141" s="4">
        <v>541051</v>
      </c>
      <c r="L141" s="3">
        <v>6699.15</v>
      </c>
      <c r="M141" s="4">
        <v>20237862</v>
      </c>
      <c r="N141">
        <v>1690889.1</v>
      </c>
      <c r="O141">
        <v>0.98</v>
      </c>
    </row>
    <row r="142" spans="1:15" x14ac:dyDescent="0.35">
      <c r="A142">
        <v>12</v>
      </c>
      <c r="B142" t="s">
        <v>42</v>
      </c>
      <c r="D142">
        <v>6.06</v>
      </c>
      <c r="H142" t="s">
        <v>18</v>
      </c>
      <c r="J142" s="4">
        <v>1901</v>
      </c>
      <c r="M142" s="4">
        <v>1219</v>
      </c>
      <c r="N142">
        <v>48.4</v>
      </c>
      <c r="O142">
        <v>1.56</v>
      </c>
    </row>
    <row r="143" spans="1:15" x14ac:dyDescent="0.35">
      <c r="A143">
        <v>13</v>
      </c>
      <c r="B143" t="s">
        <v>43</v>
      </c>
    </row>
    <row r="144" spans="1:15" x14ac:dyDescent="0.35">
      <c r="A144">
        <v>14</v>
      </c>
      <c r="B144" t="s">
        <v>44</v>
      </c>
    </row>
    <row r="145" spans="1:20" x14ac:dyDescent="0.35">
      <c r="A145">
        <v>15</v>
      </c>
      <c r="B145" t="s">
        <v>45</v>
      </c>
      <c r="Q145" s="1" t="s">
        <v>97</v>
      </c>
      <c r="R145" s="1" t="s">
        <v>98</v>
      </c>
      <c r="S145" s="5" t="s">
        <v>99</v>
      </c>
      <c r="T145" s="6" t="s">
        <v>100</v>
      </c>
    </row>
    <row r="146" spans="1:20" x14ac:dyDescent="0.35">
      <c r="A146">
        <v>16</v>
      </c>
      <c r="B146" t="s">
        <v>46</v>
      </c>
      <c r="D146">
        <v>6.06</v>
      </c>
      <c r="H146" t="s">
        <v>93</v>
      </c>
      <c r="I146" s="2">
        <v>0.27300000000000002</v>
      </c>
      <c r="J146" s="4">
        <v>726</v>
      </c>
      <c r="K146" s="4">
        <v>787194</v>
      </c>
      <c r="L146" s="3">
        <v>0.22</v>
      </c>
      <c r="M146" s="4">
        <v>1093</v>
      </c>
      <c r="N146">
        <v>10.4</v>
      </c>
      <c r="O146">
        <v>0.66</v>
      </c>
      <c r="Q146" s="1">
        <v>60000</v>
      </c>
    </row>
    <row r="147" spans="1:20" x14ac:dyDescent="0.35">
      <c r="A147">
        <v>17</v>
      </c>
      <c r="B147" t="s">
        <v>47</v>
      </c>
      <c r="C147" t="s">
        <v>48</v>
      </c>
      <c r="D147">
        <v>6.06</v>
      </c>
      <c r="H147" t="s">
        <v>18</v>
      </c>
      <c r="I147" s="2">
        <v>0.79500000000000004</v>
      </c>
      <c r="J147" s="4">
        <v>3695</v>
      </c>
      <c r="K147" s="4">
        <v>553707</v>
      </c>
      <c r="L147" s="3">
        <v>1.21</v>
      </c>
      <c r="M147" s="4">
        <v>3198</v>
      </c>
      <c r="N147">
        <v>114.4</v>
      </c>
      <c r="O147">
        <v>1.1599999999999999</v>
      </c>
      <c r="Q147" s="1">
        <v>20</v>
      </c>
      <c r="R147" s="1">
        <v>0.27710000000000001</v>
      </c>
      <c r="S147" s="5">
        <f>((I147*Q147*1.5)/1000)*(6/0.1)*1.296</f>
        <v>1.8545760000000004</v>
      </c>
      <c r="T147" s="6">
        <f>S147/R147</f>
        <v>6.6928040418621446</v>
      </c>
    </row>
    <row r="148" spans="1:20" x14ac:dyDescent="0.35">
      <c r="A148">
        <v>18</v>
      </c>
      <c r="B148" t="s">
        <v>49</v>
      </c>
      <c r="C148" t="s">
        <v>50</v>
      </c>
      <c r="D148">
        <v>6.06</v>
      </c>
      <c r="H148" t="s">
        <v>18</v>
      </c>
      <c r="I148" s="2">
        <v>0.72099999999999997</v>
      </c>
      <c r="J148" s="4">
        <v>3450</v>
      </c>
      <c r="K148" s="4">
        <v>585284</v>
      </c>
      <c r="L148" s="3">
        <v>1.07</v>
      </c>
      <c r="M148" s="4">
        <v>3589</v>
      </c>
      <c r="N148">
        <v>126.7</v>
      </c>
      <c r="O148">
        <v>0.96</v>
      </c>
      <c r="Q148" s="1">
        <v>20</v>
      </c>
      <c r="R148" s="1">
        <v>0.29480000000000001</v>
      </c>
      <c r="S148" s="5">
        <f t="shared" ref="S148:S157" si="3">((I148*Q148*1.5)/1000)*(6/0.1)*1.296</f>
        <v>1.6819488000000002</v>
      </c>
      <c r="T148" s="6">
        <f t="shared" ref="T148:T157" si="4">S148/R148</f>
        <v>5.7053894165535963</v>
      </c>
    </row>
    <row r="149" spans="1:20" x14ac:dyDescent="0.35">
      <c r="A149">
        <v>19</v>
      </c>
      <c r="B149" t="s">
        <v>51</v>
      </c>
      <c r="C149" t="s">
        <v>52</v>
      </c>
      <c r="D149">
        <v>6.06</v>
      </c>
      <c r="H149" t="s">
        <v>18</v>
      </c>
      <c r="I149" s="2">
        <v>0.96599999999999997</v>
      </c>
      <c r="J149" s="4">
        <v>4723</v>
      </c>
      <c r="K149" s="4">
        <v>558212</v>
      </c>
      <c r="L149" s="3">
        <v>1.54</v>
      </c>
      <c r="M149" s="4">
        <v>4858</v>
      </c>
      <c r="N149">
        <v>111.7</v>
      </c>
      <c r="O149">
        <v>0.97</v>
      </c>
      <c r="Q149" s="1">
        <v>20</v>
      </c>
      <c r="R149" s="1">
        <v>0.29020000000000001</v>
      </c>
      <c r="S149" s="5">
        <f t="shared" si="3"/>
        <v>2.2534847999999998</v>
      </c>
      <c r="T149" s="6">
        <f t="shared" si="4"/>
        <v>7.7652818745692613</v>
      </c>
    </row>
    <row r="150" spans="1:20" x14ac:dyDescent="0.35">
      <c r="A150">
        <v>20</v>
      </c>
      <c r="B150" t="s">
        <v>53</v>
      </c>
      <c r="C150" t="s">
        <v>54</v>
      </c>
      <c r="D150">
        <v>6.06</v>
      </c>
      <c r="H150" t="s">
        <v>18</v>
      </c>
      <c r="I150" s="2">
        <v>0.58099999999999996</v>
      </c>
      <c r="J150" s="4">
        <v>2489</v>
      </c>
      <c r="K150" s="4">
        <v>562739</v>
      </c>
      <c r="L150" s="3">
        <v>0.8</v>
      </c>
      <c r="M150" s="4">
        <v>2194</v>
      </c>
      <c r="N150">
        <v>56.9</v>
      </c>
      <c r="O150">
        <v>1.1299999999999999</v>
      </c>
      <c r="Q150" s="1">
        <v>20</v>
      </c>
      <c r="R150" s="1">
        <v>0.33610000000000001</v>
      </c>
      <c r="S150" s="5">
        <f t="shared" si="3"/>
        <v>1.3553568</v>
      </c>
      <c r="T150" s="6">
        <f t="shared" si="4"/>
        <v>4.0325998214817016</v>
      </c>
    </row>
    <row r="151" spans="1:20" x14ac:dyDescent="0.35">
      <c r="A151">
        <v>21</v>
      </c>
      <c r="B151" t="s">
        <v>55</v>
      </c>
      <c r="C151" t="s">
        <v>56</v>
      </c>
      <c r="D151">
        <v>6.05</v>
      </c>
      <c r="H151" t="s">
        <v>18</v>
      </c>
      <c r="I151" s="2">
        <v>1.375</v>
      </c>
      <c r="J151" s="4">
        <v>6987</v>
      </c>
      <c r="K151" s="4">
        <v>547889</v>
      </c>
      <c r="L151" s="3">
        <v>2.3199999999999998</v>
      </c>
      <c r="M151" s="4">
        <v>6797</v>
      </c>
      <c r="N151">
        <v>257.2</v>
      </c>
      <c r="O151">
        <v>1.03</v>
      </c>
      <c r="Q151" s="1">
        <v>20</v>
      </c>
      <c r="R151" s="1">
        <v>0.28349999999999997</v>
      </c>
      <c r="S151" s="5">
        <f t="shared" si="3"/>
        <v>3.2076000000000002</v>
      </c>
      <c r="T151" s="6">
        <f t="shared" si="4"/>
        <v>11.314285714285717</v>
      </c>
    </row>
    <row r="152" spans="1:20" x14ac:dyDescent="0.35">
      <c r="A152">
        <v>22</v>
      </c>
      <c r="B152" t="s">
        <v>57</v>
      </c>
      <c r="C152" t="s">
        <v>58</v>
      </c>
      <c r="D152">
        <v>6.06</v>
      </c>
      <c r="H152" t="s">
        <v>18</v>
      </c>
      <c r="I152" s="2">
        <v>1.018</v>
      </c>
      <c r="J152" s="4">
        <v>5258</v>
      </c>
      <c r="K152" s="4">
        <v>583373</v>
      </c>
      <c r="L152" s="3">
        <v>1.64</v>
      </c>
      <c r="M152" s="4">
        <v>5703</v>
      </c>
      <c r="N152">
        <v>128.69999999999999</v>
      </c>
      <c r="O152">
        <v>0.92</v>
      </c>
      <c r="Q152" s="1">
        <v>20</v>
      </c>
      <c r="R152" s="1">
        <v>0.28410000000000002</v>
      </c>
      <c r="S152" s="5">
        <f t="shared" si="3"/>
        <v>2.3747903999999997</v>
      </c>
      <c r="T152" s="6">
        <f t="shared" si="4"/>
        <v>8.358994720168953</v>
      </c>
    </row>
    <row r="153" spans="1:20" x14ac:dyDescent="0.35">
      <c r="A153">
        <v>23</v>
      </c>
      <c r="B153" t="s">
        <v>59</v>
      </c>
      <c r="C153" t="s">
        <v>60</v>
      </c>
      <c r="D153">
        <v>6.06</v>
      </c>
      <c r="H153" t="s">
        <v>18</v>
      </c>
      <c r="I153" s="2">
        <v>0.94899999999999995</v>
      </c>
      <c r="J153" s="4">
        <v>4769</v>
      </c>
      <c r="K153" s="4">
        <v>575890</v>
      </c>
      <c r="L153" s="3">
        <v>1.51</v>
      </c>
      <c r="M153" s="4">
        <v>4880</v>
      </c>
      <c r="N153">
        <v>109.4</v>
      </c>
      <c r="O153">
        <v>0.98</v>
      </c>
      <c r="Q153" s="1">
        <v>20</v>
      </c>
      <c r="R153" s="1">
        <v>0.30840000000000001</v>
      </c>
      <c r="S153" s="5">
        <f t="shared" si="3"/>
        <v>2.2138271999999999</v>
      </c>
      <c r="T153" s="6">
        <f t="shared" si="4"/>
        <v>7.1784280155642017</v>
      </c>
    </row>
    <row r="154" spans="1:20" x14ac:dyDescent="0.35">
      <c r="A154">
        <v>24</v>
      </c>
      <c r="B154" t="s">
        <v>61</v>
      </c>
      <c r="C154" t="s">
        <v>62</v>
      </c>
      <c r="D154">
        <v>6.05</v>
      </c>
      <c r="H154" t="s">
        <v>18</v>
      </c>
      <c r="I154" s="2">
        <v>0.65200000000000002</v>
      </c>
      <c r="J154" s="4">
        <v>2813</v>
      </c>
      <c r="K154" s="4">
        <v>543856</v>
      </c>
      <c r="L154" s="3">
        <v>0.94</v>
      </c>
      <c r="M154" s="4">
        <v>2874</v>
      </c>
      <c r="N154">
        <v>93.9</v>
      </c>
      <c r="O154">
        <v>0.98</v>
      </c>
      <c r="Q154" s="1">
        <v>20</v>
      </c>
      <c r="R154" s="1">
        <v>0.30049999999999999</v>
      </c>
      <c r="S154" s="5">
        <f t="shared" si="3"/>
        <v>1.5209855999999999</v>
      </c>
      <c r="T154" s="6">
        <f t="shared" si="4"/>
        <v>5.0615161397670549</v>
      </c>
    </row>
    <row r="155" spans="1:20" x14ac:dyDescent="0.35">
      <c r="A155">
        <v>25</v>
      </c>
      <c r="B155" t="s">
        <v>63</v>
      </c>
      <c r="C155" t="s">
        <v>64</v>
      </c>
      <c r="D155">
        <v>6.06</v>
      </c>
      <c r="H155" t="s">
        <v>18</v>
      </c>
      <c r="I155" s="2">
        <v>2.6360000000000001</v>
      </c>
      <c r="J155" s="4">
        <v>15135</v>
      </c>
      <c r="K155" s="4">
        <v>582695</v>
      </c>
      <c r="L155" s="3">
        <v>4.72</v>
      </c>
      <c r="M155" s="4">
        <v>16151</v>
      </c>
      <c r="N155">
        <v>314.2</v>
      </c>
      <c r="O155">
        <v>0.94</v>
      </c>
      <c r="Q155" s="1">
        <v>20</v>
      </c>
      <c r="R155" s="1">
        <v>0.29110000000000003</v>
      </c>
      <c r="S155" s="5">
        <f t="shared" si="3"/>
        <v>6.1492607999999995</v>
      </c>
      <c r="T155" s="6">
        <f t="shared" si="4"/>
        <v>21.124221229817927</v>
      </c>
    </row>
    <row r="156" spans="1:20" x14ac:dyDescent="0.35">
      <c r="A156">
        <v>26</v>
      </c>
      <c r="B156" t="s">
        <v>65</v>
      </c>
      <c r="C156" t="s">
        <v>66</v>
      </c>
      <c r="D156">
        <v>6.06</v>
      </c>
      <c r="H156" t="s">
        <v>18</v>
      </c>
      <c r="I156" s="2">
        <v>0.72</v>
      </c>
      <c r="J156" s="4">
        <v>3425</v>
      </c>
      <c r="K156" s="4">
        <v>581648</v>
      </c>
      <c r="L156" s="3">
        <v>1.07</v>
      </c>
      <c r="M156" s="4">
        <v>4353</v>
      </c>
      <c r="N156">
        <v>141.4</v>
      </c>
      <c r="O156">
        <v>0.79</v>
      </c>
      <c r="Q156" s="1">
        <v>20</v>
      </c>
      <c r="R156" s="1">
        <v>0.29139999999999999</v>
      </c>
      <c r="S156" s="5">
        <f t="shared" si="3"/>
        <v>1.6796159999999998</v>
      </c>
      <c r="T156" s="6">
        <f t="shared" si="4"/>
        <v>5.7639533287577205</v>
      </c>
    </row>
    <row r="157" spans="1:20" x14ac:dyDescent="0.35">
      <c r="A157">
        <v>27</v>
      </c>
      <c r="B157" t="s">
        <v>67</v>
      </c>
      <c r="C157" t="s">
        <v>68</v>
      </c>
      <c r="D157">
        <v>6.05</v>
      </c>
      <c r="H157" t="s">
        <v>18</v>
      </c>
      <c r="I157" s="2">
        <v>0.69199999999999995</v>
      </c>
      <c r="J157" s="4">
        <v>3137</v>
      </c>
      <c r="K157" s="4">
        <v>560866</v>
      </c>
      <c r="L157" s="3">
        <v>1.02</v>
      </c>
      <c r="M157" s="4">
        <v>3918</v>
      </c>
      <c r="N157">
        <v>166.9</v>
      </c>
      <c r="O157">
        <v>0.8</v>
      </c>
      <c r="Q157" s="1">
        <v>20</v>
      </c>
      <c r="R157" s="1">
        <v>0.31840000000000002</v>
      </c>
      <c r="S157" s="5">
        <f t="shared" si="3"/>
        <v>1.6142975999999998</v>
      </c>
      <c r="T157" s="6">
        <f t="shared" si="4"/>
        <v>5.0700301507537677</v>
      </c>
    </row>
    <row r="158" spans="1:20" x14ac:dyDescent="0.35">
      <c r="A158">
        <v>28</v>
      </c>
      <c r="B158" t="s">
        <v>69</v>
      </c>
    </row>
    <row r="159" spans="1:20" x14ac:dyDescent="0.35">
      <c r="A159">
        <v>29</v>
      </c>
      <c r="B159" t="s">
        <v>70</v>
      </c>
      <c r="C159" t="s">
        <v>71</v>
      </c>
      <c r="D159">
        <v>6.06</v>
      </c>
      <c r="H159" t="s">
        <v>18</v>
      </c>
      <c r="I159" s="2">
        <v>83.474999999999994</v>
      </c>
      <c r="J159" s="4">
        <v>540233</v>
      </c>
      <c r="K159" s="4">
        <v>621048</v>
      </c>
      <c r="L159" s="3">
        <v>158.21</v>
      </c>
      <c r="M159" s="4">
        <v>550061</v>
      </c>
      <c r="N159">
        <v>9220.7999999999993</v>
      </c>
      <c r="O159">
        <v>0.98</v>
      </c>
      <c r="Q159" s="1">
        <v>20</v>
      </c>
      <c r="R159" s="1">
        <v>0.30790000000000001</v>
      </c>
      <c r="S159" s="5">
        <f t="shared" ref="S159:S167" si="5">((I159*Q159*1.5)/1000)*(6/0.1)*1.296</f>
        <v>194.73048</v>
      </c>
      <c r="T159" s="6">
        <f t="shared" ref="T159:T167" si="6">S159/R159</f>
        <v>632.44715816823646</v>
      </c>
    </row>
    <row r="160" spans="1:20" x14ac:dyDescent="0.35">
      <c r="A160">
        <v>30</v>
      </c>
      <c r="B160" t="s">
        <v>72</v>
      </c>
      <c r="C160" t="s">
        <v>73</v>
      </c>
      <c r="D160">
        <v>6.06</v>
      </c>
      <c r="H160" t="s">
        <v>18</v>
      </c>
      <c r="I160" s="2">
        <v>63.695</v>
      </c>
      <c r="J160" s="4">
        <v>401013</v>
      </c>
      <c r="K160" s="4">
        <v>603856</v>
      </c>
      <c r="L160" s="3">
        <v>120.78</v>
      </c>
      <c r="M160" s="4">
        <v>408384</v>
      </c>
      <c r="N160">
        <v>15537.7</v>
      </c>
      <c r="O160">
        <v>0.98</v>
      </c>
      <c r="Q160" s="1">
        <v>20</v>
      </c>
      <c r="R160" s="1">
        <v>0.26019999999999999</v>
      </c>
      <c r="S160" s="5">
        <f t="shared" si="5"/>
        <v>148.58769600000002</v>
      </c>
      <c r="T160" s="6">
        <f t="shared" si="6"/>
        <v>571.05186779400469</v>
      </c>
    </row>
    <row r="161" spans="1:20" x14ac:dyDescent="0.35">
      <c r="A161">
        <v>31</v>
      </c>
      <c r="B161" t="s">
        <v>74</v>
      </c>
      <c r="C161" t="s">
        <v>75</v>
      </c>
      <c r="D161">
        <v>6.06</v>
      </c>
      <c r="H161" t="s">
        <v>18</v>
      </c>
      <c r="I161" s="2">
        <v>82.658000000000001</v>
      </c>
      <c r="J161" s="4">
        <v>480052</v>
      </c>
      <c r="K161" s="4">
        <v>557303</v>
      </c>
      <c r="L161" s="3">
        <v>156.66999999999999</v>
      </c>
      <c r="M161" s="4">
        <v>487621</v>
      </c>
      <c r="N161">
        <v>4350.2</v>
      </c>
      <c r="O161">
        <v>0.98</v>
      </c>
      <c r="Q161" s="1">
        <v>20</v>
      </c>
      <c r="R161" s="1">
        <v>0.26729999999999998</v>
      </c>
      <c r="S161" s="5">
        <f t="shared" si="5"/>
        <v>192.82458240000003</v>
      </c>
      <c r="T161" s="6">
        <f t="shared" si="6"/>
        <v>721.37890909090925</v>
      </c>
    </row>
    <row r="162" spans="1:20" x14ac:dyDescent="0.35">
      <c r="A162">
        <v>32</v>
      </c>
      <c r="B162" t="s">
        <v>76</v>
      </c>
      <c r="C162" t="s">
        <v>77</v>
      </c>
      <c r="D162">
        <v>6.06</v>
      </c>
      <c r="H162" t="s">
        <v>18</v>
      </c>
      <c r="I162" s="2">
        <v>86.248999999999995</v>
      </c>
      <c r="J162" s="4">
        <v>512949</v>
      </c>
      <c r="K162" s="4">
        <v>570770</v>
      </c>
      <c r="L162" s="3">
        <v>163.44999999999999</v>
      </c>
      <c r="M162" s="4">
        <v>518806</v>
      </c>
      <c r="N162">
        <v>15744.8</v>
      </c>
      <c r="O162">
        <v>0.99</v>
      </c>
      <c r="Q162" s="1">
        <v>20</v>
      </c>
      <c r="R162" s="1">
        <v>0.26569999999999999</v>
      </c>
      <c r="S162" s="5">
        <f t="shared" si="5"/>
        <v>201.2016672</v>
      </c>
      <c r="T162" s="6">
        <f t="shared" si="6"/>
        <v>757.25128791870532</v>
      </c>
    </row>
    <row r="163" spans="1:20" x14ac:dyDescent="0.35">
      <c r="A163">
        <v>33</v>
      </c>
      <c r="B163" t="s">
        <v>78</v>
      </c>
      <c r="C163" t="s">
        <v>79</v>
      </c>
      <c r="D163">
        <v>6.06</v>
      </c>
      <c r="H163" t="s">
        <v>18</v>
      </c>
      <c r="I163" s="2">
        <v>99.3</v>
      </c>
      <c r="J163" s="4">
        <v>602228</v>
      </c>
      <c r="K163" s="4">
        <v>582326</v>
      </c>
      <c r="L163" s="3">
        <v>188.1</v>
      </c>
      <c r="M163" s="4">
        <v>606357</v>
      </c>
      <c r="N163">
        <v>7716.7</v>
      </c>
      <c r="O163">
        <v>0.99</v>
      </c>
      <c r="Q163" s="1">
        <v>20</v>
      </c>
      <c r="R163" s="1">
        <v>0.24390000000000001</v>
      </c>
      <c r="S163" s="5">
        <f t="shared" si="5"/>
        <v>231.64704000000003</v>
      </c>
      <c r="T163" s="6">
        <f t="shared" si="6"/>
        <v>949.76236162361636</v>
      </c>
    </row>
    <row r="164" spans="1:20" x14ac:dyDescent="0.35">
      <c r="A164">
        <v>34</v>
      </c>
      <c r="B164" t="s">
        <v>80</v>
      </c>
      <c r="C164" t="s">
        <v>81</v>
      </c>
      <c r="D164">
        <v>6.06</v>
      </c>
      <c r="H164" t="s">
        <v>18</v>
      </c>
      <c r="I164" s="2">
        <v>84.697000000000003</v>
      </c>
      <c r="J164" s="4">
        <v>556853</v>
      </c>
      <c r="K164" s="4">
        <v>630942</v>
      </c>
      <c r="L164" s="3">
        <v>160.52000000000001</v>
      </c>
      <c r="M164" s="4">
        <v>591791</v>
      </c>
      <c r="N164">
        <v>14801.4</v>
      </c>
      <c r="O164">
        <v>0.94</v>
      </c>
      <c r="Q164" s="1">
        <v>20</v>
      </c>
      <c r="R164" s="1">
        <v>0.21940000000000001</v>
      </c>
      <c r="S164" s="5">
        <f t="shared" si="5"/>
        <v>197.5811616</v>
      </c>
      <c r="T164" s="6">
        <f t="shared" si="6"/>
        <v>900.55224065633547</v>
      </c>
    </row>
    <row r="165" spans="1:20" x14ac:dyDescent="0.35">
      <c r="A165">
        <v>35</v>
      </c>
      <c r="B165" t="s">
        <v>82</v>
      </c>
      <c r="C165" t="s">
        <v>83</v>
      </c>
      <c r="D165">
        <v>6.06</v>
      </c>
      <c r="H165" t="s">
        <v>18</v>
      </c>
      <c r="I165" s="2">
        <v>144.58799999999999</v>
      </c>
      <c r="J165" s="4">
        <v>898560</v>
      </c>
      <c r="K165" s="4">
        <v>597933</v>
      </c>
      <c r="L165" s="3">
        <v>273.33</v>
      </c>
      <c r="M165" s="4">
        <v>913711</v>
      </c>
      <c r="N165">
        <v>12659.1</v>
      </c>
      <c r="O165">
        <v>0.98</v>
      </c>
      <c r="Q165" s="1">
        <v>20</v>
      </c>
      <c r="R165" s="1">
        <v>0.25559999999999999</v>
      </c>
      <c r="S165" s="5">
        <f t="shared" si="5"/>
        <v>337.2948864</v>
      </c>
      <c r="T165" s="6">
        <f t="shared" si="6"/>
        <v>1319.6200563380282</v>
      </c>
    </row>
    <row r="166" spans="1:20" x14ac:dyDescent="0.35">
      <c r="A166">
        <v>36</v>
      </c>
      <c r="B166" t="s">
        <v>84</v>
      </c>
      <c r="C166" t="s">
        <v>85</v>
      </c>
      <c r="D166">
        <v>6.06</v>
      </c>
      <c r="H166" t="s">
        <v>18</v>
      </c>
      <c r="I166" s="2">
        <v>75.067999999999998</v>
      </c>
      <c r="J166" s="4">
        <v>469805</v>
      </c>
      <c r="K166" s="4">
        <v>600415</v>
      </c>
      <c r="L166" s="3">
        <v>142.32</v>
      </c>
      <c r="M166" s="4">
        <v>475207</v>
      </c>
      <c r="N166">
        <v>9321.2999999999993</v>
      </c>
      <c r="O166">
        <v>0.99</v>
      </c>
      <c r="Q166" s="1">
        <v>20</v>
      </c>
      <c r="R166" s="1">
        <v>0.2036</v>
      </c>
      <c r="S166" s="5">
        <f t="shared" si="5"/>
        <v>175.1186304</v>
      </c>
      <c r="T166" s="6">
        <f t="shared" si="6"/>
        <v>860.11115127701373</v>
      </c>
    </row>
    <row r="167" spans="1:20" x14ac:dyDescent="0.35">
      <c r="A167">
        <v>37</v>
      </c>
      <c r="B167" t="s">
        <v>86</v>
      </c>
      <c r="C167" t="s">
        <v>87</v>
      </c>
      <c r="D167">
        <v>6.06</v>
      </c>
      <c r="H167" t="s">
        <v>18</v>
      </c>
      <c r="I167" s="2">
        <v>123.587</v>
      </c>
      <c r="J167" s="4">
        <v>762542</v>
      </c>
      <c r="K167" s="4">
        <v>593056</v>
      </c>
      <c r="L167" s="3">
        <v>233.86</v>
      </c>
      <c r="M167" s="4">
        <v>776718</v>
      </c>
      <c r="N167">
        <v>9114.6</v>
      </c>
      <c r="O167">
        <v>0.98</v>
      </c>
      <c r="Q167" s="1">
        <v>20</v>
      </c>
      <c r="R167" s="1">
        <v>0.23849999999999999</v>
      </c>
      <c r="S167" s="5">
        <f t="shared" si="5"/>
        <v>288.30375360000005</v>
      </c>
      <c r="T167" s="6">
        <f t="shared" si="6"/>
        <v>1208.820769811321</v>
      </c>
    </row>
    <row r="168" spans="1:20" x14ac:dyDescent="0.35">
      <c r="A168">
        <v>38</v>
      </c>
      <c r="B168" t="s">
        <v>88</v>
      </c>
    </row>
    <row r="169" spans="1:20" x14ac:dyDescent="0.35">
      <c r="A169">
        <v>39</v>
      </c>
      <c r="B169" t="s">
        <v>89</v>
      </c>
    </row>
    <row r="170" spans="1:20" x14ac:dyDescent="0.35">
      <c r="A170">
        <v>40</v>
      </c>
      <c r="B170" t="s">
        <v>90</v>
      </c>
    </row>
    <row r="171" spans="1:20" x14ac:dyDescent="0.35">
      <c r="A171">
        <v>41</v>
      </c>
      <c r="B171" t="s">
        <v>91</v>
      </c>
    </row>
    <row r="173" spans="1:20" x14ac:dyDescent="0.35">
      <c r="A173" t="s">
        <v>95</v>
      </c>
    </row>
    <row r="175" spans="1:20" x14ac:dyDescent="0.35">
      <c r="B175" t="s">
        <v>3</v>
      </c>
      <c r="C175" t="s">
        <v>4</v>
      </c>
      <c r="D175" t="s">
        <v>5</v>
      </c>
      <c r="E175" t="s">
        <v>6</v>
      </c>
      <c r="F175" t="s">
        <v>96</v>
      </c>
      <c r="G175" t="s">
        <v>7</v>
      </c>
      <c r="H175" t="s">
        <v>8</v>
      </c>
      <c r="I175" s="2" t="s">
        <v>9</v>
      </c>
      <c r="J175" s="4" t="s">
        <v>10</v>
      </c>
      <c r="K175" s="4" t="s">
        <v>11</v>
      </c>
      <c r="L175" s="3" t="s">
        <v>12</v>
      </c>
      <c r="M175" s="4" t="s">
        <v>13</v>
      </c>
      <c r="N175" t="s">
        <v>14</v>
      </c>
      <c r="O175" t="s">
        <v>15</v>
      </c>
    </row>
    <row r="176" spans="1:20" x14ac:dyDescent="0.35">
      <c r="A176">
        <v>1</v>
      </c>
      <c r="B176" t="s">
        <v>16</v>
      </c>
      <c r="D176">
        <v>6.04</v>
      </c>
      <c r="E176" t="s">
        <v>17</v>
      </c>
      <c r="F176">
        <v>181.92</v>
      </c>
      <c r="G176">
        <v>-6.7</v>
      </c>
      <c r="H176" t="s">
        <v>93</v>
      </c>
      <c r="I176" s="2">
        <v>169.75899999999999</v>
      </c>
      <c r="J176" s="4">
        <v>532653</v>
      </c>
      <c r="L176" s="3">
        <v>532652.5</v>
      </c>
      <c r="N176">
        <v>12114</v>
      </c>
    </row>
    <row r="177" spans="1:14" x14ac:dyDescent="0.35">
      <c r="A177">
        <v>2</v>
      </c>
      <c r="B177" t="s">
        <v>19</v>
      </c>
      <c r="D177">
        <v>6.04</v>
      </c>
      <c r="E177" t="s">
        <v>17</v>
      </c>
      <c r="F177">
        <v>181.92</v>
      </c>
      <c r="G177">
        <v>-2.9</v>
      </c>
      <c r="H177" t="s">
        <v>93</v>
      </c>
      <c r="I177" s="2">
        <v>176.59399999999999</v>
      </c>
      <c r="J177" s="4">
        <v>554099</v>
      </c>
      <c r="L177" s="3">
        <v>554099.18999999994</v>
      </c>
      <c r="N177">
        <v>8797.9</v>
      </c>
    </row>
    <row r="178" spans="1:14" x14ac:dyDescent="0.35">
      <c r="A178">
        <v>3</v>
      </c>
      <c r="B178" t="s">
        <v>20</v>
      </c>
      <c r="D178">
        <v>6.04</v>
      </c>
      <c r="E178" t="s">
        <v>17</v>
      </c>
      <c r="F178">
        <v>181.92</v>
      </c>
      <c r="G178">
        <v>-2.4</v>
      </c>
      <c r="H178" t="s">
        <v>18</v>
      </c>
      <c r="I178" s="2">
        <v>177.55</v>
      </c>
      <c r="J178" s="4">
        <v>557098</v>
      </c>
      <c r="L178" s="3">
        <v>557098.18999999994</v>
      </c>
      <c r="N178">
        <v>14672.5</v>
      </c>
    </row>
    <row r="179" spans="1:14" x14ac:dyDescent="0.35">
      <c r="A179">
        <v>4</v>
      </c>
      <c r="B179" t="s">
        <v>21</v>
      </c>
      <c r="D179">
        <v>6.04</v>
      </c>
      <c r="E179" t="s">
        <v>17</v>
      </c>
      <c r="F179">
        <v>181.92</v>
      </c>
      <c r="G179">
        <v>1.5</v>
      </c>
      <c r="H179" t="s">
        <v>18</v>
      </c>
      <c r="I179" s="2">
        <v>184.727</v>
      </c>
      <c r="J179" s="4">
        <v>579618</v>
      </c>
      <c r="L179" s="3">
        <v>579617.56000000006</v>
      </c>
      <c r="N179">
        <v>9990.2000000000007</v>
      </c>
    </row>
    <row r="180" spans="1:14" x14ac:dyDescent="0.35">
      <c r="A180">
        <v>5</v>
      </c>
      <c r="B180" t="s">
        <v>22</v>
      </c>
      <c r="D180">
        <v>6.04</v>
      </c>
      <c r="E180" t="s">
        <v>17</v>
      </c>
      <c r="F180">
        <v>181.92</v>
      </c>
      <c r="G180">
        <v>1.1000000000000001</v>
      </c>
      <c r="H180" t="s">
        <v>18</v>
      </c>
      <c r="I180" s="2">
        <v>183.989</v>
      </c>
      <c r="J180" s="4">
        <v>577301</v>
      </c>
      <c r="L180" s="3">
        <v>577301</v>
      </c>
      <c r="N180">
        <v>14090.2</v>
      </c>
    </row>
    <row r="181" spans="1:14" x14ac:dyDescent="0.35">
      <c r="A181">
        <v>6</v>
      </c>
      <c r="B181" t="s">
        <v>23</v>
      </c>
      <c r="D181">
        <v>6.04</v>
      </c>
      <c r="E181" t="s">
        <v>17</v>
      </c>
      <c r="F181">
        <v>181.92</v>
      </c>
      <c r="G181">
        <v>-0.3</v>
      </c>
      <c r="H181" t="s">
        <v>18</v>
      </c>
      <c r="I181" s="2">
        <v>181.43600000000001</v>
      </c>
      <c r="J181" s="4">
        <v>569292</v>
      </c>
      <c r="L181" s="3">
        <v>569292.43999999994</v>
      </c>
      <c r="N181">
        <v>11145.9</v>
      </c>
    </row>
    <row r="182" spans="1:14" x14ac:dyDescent="0.35">
      <c r="A182">
        <v>7</v>
      </c>
      <c r="B182" t="s">
        <v>24</v>
      </c>
      <c r="D182">
        <v>6.04</v>
      </c>
      <c r="E182" t="s">
        <v>17</v>
      </c>
      <c r="F182">
        <v>181.92</v>
      </c>
      <c r="G182">
        <v>-1.5</v>
      </c>
      <c r="H182" t="s">
        <v>18</v>
      </c>
      <c r="I182" s="2">
        <v>179.21</v>
      </c>
      <c r="J182" s="4">
        <v>562307</v>
      </c>
      <c r="L182" s="3">
        <v>562306.5</v>
      </c>
      <c r="N182">
        <v>13318.4</v>
      </c>
    </row>
    <row r="183" spans="1:14" x14ac:dyDescent="0.35">
      <c r="A183">
        <v>8</v>
      </c>
      <c r="B183" t="s">
        <v>25</v>
      </c>
      <c r="D183">
        <v>6.04</v>
      </c>
      <c r="E183" t="s">
        <v>17</v>
      </c>
      <c r="F183">
        <v>181.92</v>
      </c>
      <c r="G183">
        <v>-4.8</v>
      </c>
      <c r="H183" t="s">
        <v>93</v>
      </c>
      <c r="I183" s="2">
        <v>173.23400000000001</v>
      </c>
      <c r="J183" s="4">
        <v>543557</v>
      </c>
      <c r="L183" s="3">
        <v>543557.06000000006</v>
      </c>
      <c r="N183">
        <v>16410</v>
      </c>
    </row>
    <row r="184" spans="1:14" x14ac:dyDescent="0.35">
      <c r="A184">
        <v>9</v>
      </c>
      <c r="B184" t="s">
        <v>27</v>
      </c>
      <c r="D184">
        <v>6.04</v>
      </c>
      <c r="E184" t="s">
        <v>17</v>
      </c>
      <c r="F184">
        <v>181.92</v>
      </c>
      <c r="G184">
        <v>-11.6</v>
      </c>
      <c r="H184" t="s">
        <v>93</v>
      </c>
      <c r="I184" s="2">
        <v>160.78899999999999</v>
      </c>
      <c r="J184" s="4">
        <v>504506</v>
      </c>
      <c r="L184" s="3">
        <v>504506.34</v>
      </c>
      <c r="N184">
        <v>19499.5</v>
      </c>
    </row>
    <row r="185" spans="1:14" x14ac:dyDescent="0.35">
      <c r="A185">
        <v>10</v>
      </c>
      <c r="B185" t="s">
        <v>29</v>
      </c>
      <c r="D185">
        <v>6.04</v>
      </c>
      <c r="E185" t="s">
        <v>17</v>
      </c>
      <c r="F185">
        <v>181.92</v>
      </c>
      <c r="G185">
        <v>-11.4</v>
      </c>
      <c r="H185" t="s">
        <v>93</v>
      </c>
      <c r="I185" s="2">
        <v>161.26900000000001</v>
      </c>
      <c r="J185" s="4">
        <v>506013</v>
      </c>
      <c r="L185" s="3">
        <v>506012.81</v>
      </c>
      <c r="N185">
        <v>8371.7999999999993</v>
      </c>
    </row>
    <row r="186" spans="1:14" x14ac:dyDescent="0.35">
      <c r="A186">
        <v>11</v>
      </c>
      <c r="B186" t="s">
        <v>30</v>
      </c>
      <c r="D186">
        <v>6.04</v>
      </c>
      <c r="E186" t="s">
        <v>17</v>
      </c>
      <c r="F186">
        <v>181.92</v>
      </c>
      <c r="G186">
        <v>-7.3</v>
      </c>
      <c r="H186" t="s">
        <v>93</v>
      </c>
      <c r="I186" s="2">
        <v>168.625</v>
      </c>
      <c r="J186" s="4">
        <v>529096</v>
      </c>
      <c r="L186" s="3">
        <v>529095.5</v>
      </c>
      <c r="N186">
        <v>16575.2</v>
      </c>
    </row>
    <row r="187" spans="1:14" x14ac:dyDescent="0.35">
      <c r="A187">
        <v>42</v>
      </c>
      <c r="B187" t="s">
        <v>31</v>
      </c>
      <c r="D187">
        <v>6.04</v>
      </c>
      <c r="E187" t="s">
        <v>17</v>
      </c>
      <c r="F187">
        <v>181.92</v>
      </c>
      <c r="G187">
        <v>11.4</v>
      </c>
      <c r="H187" t="s">
        <v>18</v>
      </c>
      <c r="I187" s="2">
        <v>202.58</v>
      </c>
      <c r="J187" s="4">
        <v>635636</v>
      </c>
      <c r="L187" s="3">
        <v>635635.75</v>
      </c>
      <c r="N187">
        <v>22839.5</v>
      </c>
    </row>
    <row r="188" spans="1:14" x14ac:dyDescent="0.35">
      <c r="A188">
        <v>43</v>
      </c>
      <c r="B188" t="s">
        <v>32</v>
      </c>
      <c r="D188">
        <v>6.04</v>
      </c>
      <c r="E188" t="s">
        <v>17</v>
      </c>
      <c r="F188">
        <v>181.92</v>
      </c>
      <c r="G188">
        <v>10.8</v>
      </c>
      <c r="H188" t="s">
        <v>18</v>
      </c>
      <c r="I188" s="2">
        <v>201.602</v>
      </c>
      <c r="J188" s="4">
        <v>632567</v>
      </c>
      <c r="L188" s="3">
        <v>632567.18999999994</v>
      </c>
      <c r="N188">
        <v>15265.9</v>
      </c>
    </row>
    <row r="189" spans="1:14" x14ac:dyDescent="0.35">
      <c r="A189">
        <v>44</v>
      </c>
      <c r="B189" t="s">
        <v>33</v>
      </c>
      <c r="D189">
        <v>6.04</v>
      </c>
      <c r="E189" t="s">
        <v>17</v>
      </c>
      <c r="F189">
        <v>181.92</v>
      </c>
      <c r="G189">
        <v>12.9</v>
      </c>
      <c r="H189" t="s">
        <v>18</v>
      </c>
      <c r="I189" s="2">
        <v>205.32300000000001</v>
      </c>
      <c r="J189" s="4">
        <v>644243</v>
      </c>
      <c r="L189" s="3">
        <v>644242.88</v>
      </c>
      <c r="N189">
        <v>13967.5</v>
      </c>
    </row>
    <row r="190" spans="1:14" x14ac:dyDescent="0.35">
      <c r="A190">
        <v>45</v>
      </c>
      <c r="B190" t="s">
        <v>34</v>
      </c>
      <c r="D190">
        <v>6.04</v>
      </c>
      <c r="E190" t="s">
        <v>17</v>
      </c>
      <c r="F190">
        <v>181.92</v>
      </c>
      <c r="G190">
        <v>11.9</v>
      </c>
      <c r="H190" t="s">
        <v>18</v>
      </c>
      <c r="I190" s="2">
        <v>203.59</v>
      </c>
      <c r="J190" s="4">
        <v>638805</v>
      </c>
      <c r="L190" s="3">
        <v>638805.18999999994</v>
      </c>
      <c r="N190">
        <v>22933.3</v>
      </c>
    </row>
    <row r="191" spans="1:14" x14ac:dyDescent="0.35">
      <c r="A191">
        <v>46</v>
      </c>
      <c r="B191" t="s">
        <v>35</v>
      </c>
      <c r="D191">
        <v>6.04</v>
      </c>
      <c r="E191" t="s">
        <v>17</v>
      </c>
      <c r="F191">
        <v>181.92</v>
      </c>
      <c r="G191">
        <v>4.9000000000000004</v>
      </c>
      <c r="H191" t="s">
        <v>93</v>
      </c>
      <c r="I191" s="2">
        <v>190.83199999999999</v>
      </c>
      <c r="J191" s="4">
        <v>598774</v>
      </c>
      <c r="L191" s="3">
        <v>598773.93999999994</v>
      </c>
      <c r="N191">
        <v>20318.3</v>
      </c>
    </row>
    <row r="192" spans="1:14" x14ac:dyDescent="0.35">
      <c r="A192">
        <v>47</v>
      </c>
      <c r="B192" t="s">
        <v>36</v>
      </c>
      <c r="D192">
        <v>6.04</v>
      </c>
      <c r="E192" t="s">
        <v>17</v>
      </c>
      <c r="F192">
        <v>181.92</v>
      </c>
      <c r="G192">
        <v>6</v>
      </c>
      <c r="H192" t="s">
        <v>18</v>
      </c>
      <c r="I192" s="2">
        <v>192.86099999999999</v>
      </c>
      <c r="J192" s="4">
        <v>605138</v>
      </c>
      <c r="L192" s="3">
        <v>605138.38</v>
      </c>
      <c r="N192">
        <v>15861.5</v>
      </c>
    </row>
    <row r="193" spans="1:20" x14ac:dyDescent="0.35">
      <c r="A193">
        <v>48</v>
      </c>
      <c r="B193" t="s">
        <v>37</v>
      </c>
      <c r="D193">
        <v>6.03</v>
      </c>
      <c r="E193" t="s">
        <v>17</v>
      </c>
      <c r="F193">
        <v>181.92</v>
      </c>
      <c r="G193">
        <v>5</v>
      </c>
      <c r="H193" t="s">
        <v>93</v>
      </c>
      <c r="I193" s="2">
        <v>190.98</v>
      </c>
      <c r="J193" s="4">
        <v>599237</v>
      </c>
      <c r="L193" s="3">
        <v>599236.88</v>
      </c>
      <c r="N193">
        <v>17891.2</v>
      </c>
    </row>
    <row r="194" spans="1:20" x14ac:dyDescent="0.35">
      <c r="A194">
        <v>49</v>
      </c>
      <c r="B194" t="s">
        <v>38</v>
      </c>
      <c r="D194">
        <v>6.03</v>
      </c>
      <c r="E194" t="s">
        <v>17</v>
      </c>
      <c r="F194">
        <v>181.92</v>
      </c>
      <c r="G194">
        <v>-0.1</v>
      </c>
      <c r="H194" t="s">
        <v>93</v>
      </c>
      <c r="I194" s="2">
        <v>181.65</v>
      </c>
      <c r="J194" s="4">
        <v>569962</v>
      </c>
      <c r="L194" s="3">
        <v>569961.81000000006</v>
      </c>
      <c r="N194">
        <v>14288.9</v>
      </c>
    </row>
    <row r="195" spans="1:20" x14ac:dyDescent="0.35">
      <c r="A195">
        <v>50</v>
      </c>
      <c r="B195" t="s">
        <v>39</v>
      </c>
      <c r="D195">
        <v>6.04</v>
      </c>
      <c r="E195" t="s">
        <v>17</v>
      </c>
      <c r="F195">
        <v>181.92</v>
      </c>
      <c r="G195">
        <v>-5.6</v>
      </c>
      <c r="H195" t="s">
        <v>93</v>
      </c>
      <c r="I195" s="2">
        <v>171.761</v>
      </c>
      <c r="J195" s="4">
        <v>538933</v>
      </c>
      <c r="L195" s="3">
        <v>538932.81000000006</v>
      </c>
      <c r="N195">
        <v>4230.2</v>
      </c>
    </row>
    <row r="196" spans="1:20" x14ac:dyDescent="0.35">
      <c r="A196">
        <v>51</v>
      </c>
      <c r="B196" t="s">
        <v>40</v>
      </c>
      <c r="D196">
        <v>6.04</v>
      </c>
      <c r="E196" t="s">
        <v>17</v>
      </c>
      <c r="F196">
        <v>181.92</v>
      </c>
      <c r="G196">
        <v>-5.8</v>
      </c>
      <c r="H196" t="s">
        <v>93</v>
      </c>
      <c r="I196" s="2">
        <v>171.441</v>
      </c>
      <c r="J196" s="4">
        <v>537931</v>
      </c>
      <c r="L196" s="3">
        <v>537930.93999999994</v>
      </c>
      <c r="N196">
        <v>14471.7</v>
      </c>
    </row>
    <row r="197" spans="1:20" x14ac:dyDescent="0.35">
      <c r="A197">
        <v>52</v>
      </c>
      <c r="B197" t="s">
        <v>41</v>
      </c>
      <c r="D197">
        <v>6.04</v>
      </c>
      <c r="E197" t="s">
        <v>17</v>
      </c>
      <c r="F197">
        <v>181.92</v>
      </c>
      <c r="G197">
        <v>-5.2</v>
      </c>
      <c r="H197" t="s">
        <v>93</v>
      </c>
      <c r="I197" s="2">
        <v>172.43600000000001</v>
      </c>
      <c r="J197" s="4">
        <v>541051</v>
      </c>
      <c r="L197" s="3">
        <v>541051.13</v>
      </c>
      <c r="N197">
        <v>6674.1</v>
      </c>
    </row>
    <row r="198" spans="1:20" x14ac:dyDescent="0.35">
      <c r="A198">
        <v>12</v>
      </c>
      <c r="B198" t="s">
        <v>42</v>
      </c>
    </row>
    <row r="199" spans="1:20" x14ac:dyDescent="0.35">
      <c r="A199">
        <v>13</v>
      </c>
      <c r="B199" t="s">
        <v>43</v>
      </c>
    </row>
    <row r="200" spans="1:20" x14ac:dyDescent="0.35">
      <c r="A200">
        <v>14</v>
      </c>
      <c r="B200" t="s">
        <v>44</v>
      </c>
    </row>
    <row r="201" spans="1:20" x14ac:dyDescent="0.35">
      <c r="A201">
        <v>15</v>
      </c>
      <c r="B201" t="s">
        <v>45</v>
      </c>
      <c r="Q201" s="1" t="s">
        <v>97</v>
      </c>
      <c r="R201" s="1" t="s">
        <v>102</v>
      </c>
      <c r="S201" s="5" t="s">
        <v>103</v>
      </c>
      <c r="T201" s="6" t="s">
        <v>104</v>
      </c>
    </row>
    <row r="202" spans="1:20" x14ac:dyDescent="0.35">
      <c r="A202">
        <v>16</v>
      </c>
      <c r="B202" t="s">
        <v>46</v>
      </c>
      <c r="D202">
        <v>6.04</v>
      </c>
      <c r="F202">
        <v>235.77</v>
      </c>
      <c r="G202">
        <v>6.4</v>
      </c>
      <c r="H202" t="s">
        <v>18</v>
      </c>
      <c r="I202" s="2">
        <v>250.88300000000001</v>
      </c>
      <c r="J202" s="4">
        <v>787194</v>
      </c>
      <c r="L202" s="3">
        <v>787193.63</v>
      </c>
      <c r="N202">
        <v>19195.2</v>
      </c>
      <c r="Q202" s="1">
        <v>60000</v>
      </c>
      <c r="R202" s="9">
        <f>I202*Q202/1000</f>
        <v>15052.98</v>
      </c>
      <c r="S202" s="9">
        <v>14126</v>
      </c>
      <c r="T202" s="8">
        <f>R202*100/S202</f>
        <v>106.56222568313747</v>
      </c>
    </row>
    <row r="203" spans="1:20" x14ac:dyDescent="0.35">
      <c r="A203">
        <v>17</v>
      </c>
      <c r="B203" t="s">
        <v>47</v>
      </c>
      <c r="C203" t="s">
        <v>48</v>
      </c>
      <c r="D203">
        <v>6.04</v>
      </c>
      <c r="F203">
        <v>181.88</v>
      </c>
      <c r="G203">
        <v>-3</v>
      </c>
      <c r="H203" t="s">
        <v>18</v>
      </c>
      <c r="I203" s="2">
        <v>176.46899999999999</v>
      </c>
      <c r="J203" s="4">
        <v>553707</v>
      </c>
      <c r="L203" s="3">
        <v>553706.63</v>
      </c>
      <c r="N203">
        <v>22300.1</v>
      </c>
      <c r="T203" s="6">
        <f>100+G203</f>
        <v>97</v>
      </c>
    </row>
    <row r="204" spans="1:20" x14ac:dyDescent="0.35">
      <c r="A204">
        <v>18</v>
      </c>
      <c r="B204" t="s">
        <v>49</v>
      </c>
      <c r="C204" t="s">
        <v>50</v>
      </c>
      <c r="D204">
        <v>6.04</v>
      </c>
      <c r="F204">
        <v>181.88</v>
      </c>
      <c r="G204">
        <v>2.6</v>
      </c>
      <c r="H204" t="s">
        <v>93</v>
      </c>
      <c r="I204" s="2">
        <v>186.53299999999999</v>
      </c>
      <c r="J204" s="4">
        <v>585284</v>
      </c>
      <c r="L204" s="3">
        <v>585284.13</v>
      </c>
      <c r="N204">
        <v>20835.3</v>
      </c>
      <c r="T204" s="6">
        <f t="shared" ref="T204:T213" si="7">100+G204</f>
        <v>102.6</v>
      </c>
    </row>
    <row r="205" spans="1:20" x14ac:dyDescent="0.35">
      <c r="A205">
        <v>19</v>
      </c>
      <c r="B205" t="s">
        <v>51</v>
      </c>
      <c r="C205" t="s">
        <v>52</v>
      </c>
      <c r="D205">
        <v>6.04</v>
      </c>
      <c r="F205">
        <v>181.88</v>
      </c>
      <c r="G205">
        <v>-2.2000000000000002</v>
      </c>
      <c r="H205" t="s">
        <v>93</v>
      </c>
      <c r="I205" s="2">
        <v>177.905</v>
      </c>
      <c r="J205" s="4">
        <v>558212</v>
      </c>
      <c r="L205" s="3">
        <v>558212.18999999994</v>
      </c>
      <c r="N205">
        <v>8238.7000000000007</v>
      </c>
      <c r="T205" s="6">
        <f t="shared" si="7"/>
        <v>97.8</v>
      </c>
    </row>
    <row r="206" spans="1:20" x14ac:dyDescent="0.35">
      <c r="A206">
        <v>20</v>
      </c>
      <c r="B206" t="s">
        <v>53</v>
      </c>
      <c r="C206" t="s">
        <v>54</v>
      </c>
      <c r="D206">
        <v>6.04</v>
      </c>
      <c r="F206">
        <v>181.88</v>
      </c>
      <c r="G206">
        <v>-1.4</v>
      </c>
      <c r="H206" t="s">
        <v>93</v>
      </c>
      <c r="I206" s="2">
        <v>179.34800000000001</v>
      </c>
      <c r="J206" s="4">
        <v>562739</v>
      </c>
      <c r="L206" s="3">
        <v>562739.25</v>
      </c>
      <c r="N206">
        <v>12793.9</v>
      </c>
      <c r="T206" s="6">
        <f t="shared" si="7"/>
        <v>98.6</v>
      </c>
    </row>
    <row r="207" spans="1:20" x14ac:dyDescent="0.35">
      <c r="A207">
        <v>21</v>
      </c>
      <c r="B207" t="s">
        <v>55</v>
      </c>
      <c r="C207" t="s">
        <v>56</v>
      </c>
      <c r="D207">
        <v>6.04</v>
      </c>
      <c r="F207">
        <v>181.88</v>
      </c>
      <c r="G207">
        <v>-4</v>
      </c>
      <c r="H207" t="s">
        <v>93</v>
      </c>
      <c r="I207" s="2">
        <v>174.61500000000001</v>
      </c>
      <c r="J207" s="4">
        <v>547889</v>
      </c>
      <c r="L207" s="3">
        <v>547888.93999999994</v>
      </c>
      <c r="N207">
        <v>12763</v>
      </c>
      <c r="T207" s="6">
        <f t="shared" si="7"/>
        <v>96</v>
      </c>
    </row>
    <row r="208" spans="1:20" x14ac:dyDescent="0.35">
      <c r="A208">
        <v>22</v>
      </c>
      <c r="B208" t="s">
        <v>57</v>
      </c>
      <c r="C208" t="s">
        <v>58</v>
      </c>
      <c r="D208">
        <v>6.04</v>
      </c>
      <c r="F208">
        <v>181.88</v>
      </c>
      <c r="G208">
        <v>2.2000000000000002</v>
      </c>
      <c r="H208" t="s">
        <v>93</v>
      </c>
      <c r="I208" s="2">
        <v>185.92400000000001</v>
      </c>
      <c r="J208" s="4">
        <v>583373</v>
      </c>
      <c r="L208" s="3">
        <v>583372.75</v>
      </c>
      <c r="N208">
        <v>6072.7</v>
      </c>
      <c r="T208" s="6">
        <f t="shared" si="7"/>
        <v>102.2</v>
      </c>
    </row>
    <row r="209" spans="1:20" x14ac:dyDescent="0.35">
      <c r="A209">
        <v>23</v>
      </c>
      <c r="B209" t="s">
        <v>59</v>
      </c>
      <c r="C209" t="s">
        <v>60</v>
      </c>
      <c r="D209">
        <v>6.04</v>
      </c>
      <c r="F209">
        <v>181.88</v>
      </c>
      <c r="G209">
        <v>0.9</v>
      </c>
      <c r="H209" t="s">
        <v>93</v>
      </c>
      <c r="I209" s="2">
        <v>183.53899999999999</v>
      </c>
      <c r="J209" s="4">
        <v>575890</v>
      </c>
      <c r="L209" s="3">
        <v>575889.56000000006</v>
      </c>
      <c r="N209">
        <v>14114.4</v>
      </c>
      <c r="T209" s="6">
        <f t="shared" si="7"/>
        <v>100.9</v>
      </c>
    </row>
    <row r="210" spans="1:20" x14ac:dyDescent="0.35">
      <c r="A210">
        <v>24</v>
      </c>
      <c r="B210" t="s">
        <v>61</v>
      </c>
      <c r="C210" t="s">
        <v>62</v>
      </c>
      <c r="D210">
        <v>6.04</v>
      </c>
      <c r="F210">
        <v>181.88</v>
      </c>
      <c r="G210">
        <v>-4.7</v>
      </c>
      <c r="H210" t="s">
        <v>93</v>
      </c>
      <c r="I210" s="2">
        <v>173.33</v>
      </c>
      <c r="J210" s="4">
        <v>543856</v>
      </c>
      <c r="L210" s="3">
        <v>543855.63</v>
      </c>
      <c r="N210">
        <v>11486.5</v>
      </c>
      <c r="T210" s="6">
        <f t="shared" si="7"/>
        <v>95.3</v>
      </c>
    </row>
    <row r="211" spans="1:20" x14ac:dyDescent="0.35">
      <c r="A211">
        <v>25</v>
      </c>
      <c r="B211" t="s">
        <v>63</v>
      </c>
      <c r="C211" t="s">
        <v>64</v>
      </c>
      <c r="D211">
        <v>6.04</v>
      </c>
      <c r="F211">
        <v>181.88</v>
      </c>
      <c r="G211">
        <v>2.1</v>
      </c>
      <c r="H211" t="s">
        <v>93</v>
      </c>
      <c r="I211" s="2">
        <v>185.708</v>
      </c>
      <c r="J211" s="4">
        <v>582695</v>
      </c>
      <c r="L211" s="3">
        <v>582694.63</v>
      </c>
      <c r="N211">
        <v>8221.1</v>
      </c>
      <c r="T211" s="6">
        <f t="shared" si="7"/>
        <v>102.1</v>
      </c>
    </row>
    <row r="212" spans="1:20" x14ac:dyDescent="0.35">
      <c r="A212">
        <v>26</v>
      </c>
      <c r="B212" t="s">
        <v>65</v>
      </c>
      <c r="C212" t="s">
        <v>66</v>
      </c>
      <c r="D212">
        <v>6.04</v>
      </c>
      <c r="F212">
        <v>181.88</v>
      </c>
      <c r="G212">
        <v>1.9</v>
      </c>
      <c r="H212" t="s">
        <v>93</v>
      </c>
      <c r="I212" s="2">
        <v>185.374</v>
      </c>
      <c r="J212" s="4">
        <v>581648</v>
      </c>
      <c r="L212" s="3">
        <v>581648</v>
      </c>
      <c r="N212">
        <v>12007.8</v>
      </c>
      <c r="T212" s="6">
        <f t="shared" si="7"/>
        <v>101.9</v>
      </c>
    </row>
    <row r="213" spans="1:20" x14ac:dyDescent="0.35">
      <c r="A213">
        <v>27</v>
      </c>
      <c r="B213" t="s">
        <v>67</v>
      </c>
      <c r="C213" t="s">
        <v>68</v>
      </c>
      <c r="D213">
        <v>6.04</v>
      </c>
      <c r="F213">
        <v>181.88</v>
      </c>
      <c r="G213">
        <v>-1.7</v>
      </c>
      <c r="H213" t="s">
        <v>93</v>
      </c>
      <c r="I213" s="2">
        <v>178.751</v>
      </c>
      <c r="J213" s="4">
        <v>560866</v>
      </c>
      <c r="L213" s="3">
        <v>560866.13</v>
      </c>
      <c r="N213">
        <v>12452.5</v>
      </c>
      <c r="T213" s="6">
        <f t="shared" si="7"/>
        <v>98.3</v>
      </c>
    </row>
    <row r="214" spans="1:20" x14ac:dyDescent="0.35">
      <c r="A214">
        <v>28</v>
      </c>
      <c r="B214" t="s">
        <v>69</v>
      </c>
    </row>
    <row r="215" spans="1:20" x14ac:dyDescent="0.35">
      <c r="A215">
        <v>29</v>
      </c>
      <c r="B215" t="s">
        <v>70</v>
      </c>
      <c r="C215" t="s">
        <v>71</v>
      </c>
      <c r="D215">
        <v>6.04</v>
      </c>
      <c r="F215">
        <v>181.88</v>
      </c>
      <c r="G215">
        <v>8.8000000000000007</v>
      </c>
      <c r="H215" t="s">
        <v>93</v>
      </c>
      <c r="I215" s="2">
        <v>197.93100000000001</v>
      </c>
      <c r="J215" s="4">
        <v>621048</v>
      </c>
      <c r="L215" s="3">
        <v>621048.25</v>
      </c>
      <c r="N215">
        <v>27447.7</v>
      </c>
      <c r="T215" s="6">
        <f t="shared" ref="T215:T223" si="8">100+G215</f>
        <v>108.8</v>
      </c>
    </row>
    <row r="216" spans="1:20" x14ac:dyDescent="0.35">
      <c r="A216">
        <v>30</v>
      </c>
      <c r="B216" t="s">
        <v>72</v>
      </c>
      <c r="C216" t="s">
        <v>73</v>
      </c>
      <c r="D216">
        <v>6.04</v>
      </c>
      <c r="F216">
        <v>181.88</v>
      </c>
      <c r="G216">
        <v>5.8</v>
      </c>
      <c r="H216" t="s">
        <v>18</v>
      </c>
      <c r="I216" s="2">
        <v>192.452</v>
      </c>
      <c r="J216" s="4">
        <v>603856</v>
      </c>
      <c r="L216" s="3">
        <v>603856.38</v>
      </c>
      <c r="N216">
        <v>5945.7</v>
      </c>
      <c r="T216" s="6">
        <f t="shared" si="8"/>
        <v>105.8</v>
      </c>
    </row>
    <row r="217" spans="1:20" x14ac:dyDescent="0.35">
      <c r="A217">
        <v>31</v>
      </c>
      <c r="B217" t="s">
        <v>74</v>
      </c>
      <c r="C217" t="s">
        <v>75</v>
      </c>
      <c r="D217">
        <v>6.04</v>
      </c>
      <c r="F217">
        <v>181.88</v>
      </c>
      <c r="G217">
        <v>-2.2999999999999998</v>
      </c>
      <c r="H217" t="s">
        <v>93</v>
      </c>
      <c r="I217" s="2">
        <v>177.61500000000001</v>
      </c>
      <c r="J217" s="4">
        <v>557303</v>
      </c>
      <c r="L217" s="3">
        <v>557303.31000000006</v>
      </c>
      <c r="N217">
        <v>12838.7</v>
      </c>
      <c r="T217" s="6">
        <f t="shared" si="8"/>
        <v>97.7</v>
      </c>
    </row>
    <row r="218" spans="1:20" x14ac:dyDescent="0.35">
      <c r="A218">
        <v>32</v>
      </c>
      <c r="B218" t="s">
        <v>76</v>
      </c>
      <c r="C218" t="s">
        <v>77</v>
      </c>
      <c r="D218">
        <v>6.04</v>
      </c>
      <c r="F218">
        <v>181.88</v>
      </c>
      <c r="G218">
        <v>0</v>
      </c>
      <c r="H218" t="s">
        <v>93</v>
      </c>
      <c r="I218" s="2">
        <v>181.90700000000001</v>
      </c>
      <c r="J218" s="4">
        <v>570770</v>
      </c>
      <c r="L218" s="3">
        <v>570770.38</v>
      </c>
      <c r="N218">
        <v>5164.1000000000004</v>
      </c>
      <c r="T218" s="6">
        <f t="shared" si="8"/>
        <v>100</v>
      </c>
    </row>
    <row r="219" spans="1:20" x14ac:dyDescent="0.35">
      <c r="A219">
        <v>33</v>
      </c>
      <c r="B219" t="s">
        <v>78</v>
      </c>
      <c r="C219" t="s">
        <v>79</v>
      </c>
      <c r="D219">
        <v>6.04</v>
      </c>
      <c r="F219">
        <v>181.88</v>
      </c>
      <c r="G219">
        <v>2</v>
      </c>
      <c r="H219" t="s">
        <v>93</v>
      </c>
      <c r="I219" s="2">
        <v>185.59</v>
      </c>
      <c r="J219" s="4">
        <v>582326</v>
      </c>
      <c r="L219" s="3">
        <v>582325.68999999994</v>
      </c>
      <c r="N219">
        <v>15169.7</v>
      </c>
      <c r="T219" s="6">
        <f t="shared" si="8"/>
        <v>102</v>
      </c>
    </row>
    <row r="220" spans="1:20" x14ac:dyDescent="0.35">
      <c r="A220">
        <v>34</v>
      </c>
      <c r="B220" t="s">
        <v>80</v>
      </c>
      <c r="C220" t="s">
        <v>81</v>
      </c>
      <c r="D220">
        <v>6.04</v>
      </c>
      <c r="F220">
        <v>181.88</v>
      </c>
      <c r="G220">
        <v>10.6</v>
      </c>
      <c r="H220" t="s">
        <v>93</v>
      </c>
      <c r="I220" s="2">
        <v>201.084</v>
      </c>
      <c r="J220" s="4">
        <v>630942</v>
      </c>
      <c r="L220" s="3">
        <v>630941.75</v>
      </c>
      <c r="N220">
        <v>12366.2</v>
      </c>
      <c r="T220" s="6">
        <f t="shared" si="8"/>
        <v>110.6</v>
      </c>
    </row>
    <row r="221" spans="1:20" x14ac:dyDescent="0.35">
      <c r="A221">
        <v>35</v>
      </c>
      <c r="B221" t="s">
        <v>82</v>
      </c>
      <c r="C221" t="s">
        <v>83</v>
      </c>
      <c r="D221">
        <v>6.04</v>
      </c>
      <c r="F221">
        <v>181.88</v>
      </c>
      <c r="G221">
        <v>4.8</v>
      </c>
      <c r="H221" t="s">
        <v>93</v>
      </c>
      <c r="I221" s="2">
        <v>190.56399999999999</v>
      </c>
      <c r="J221" s="4">
        <v>597933</v>
      </c>
      <c r="L221" s="3">
        <v>597932.68999999994</v>
      </c>
      <c r="N221">
        <v>10469.9</v>
      </c>
      <c r="T221" s="6">
        <f t="shared" si="8"/>
        <v>104.8</v>
      </c>
    </row>
    <row r="222" spans="1:20" x14ac:dyDescent="0.35">
      <c r="A222">
        <v>36</v>
      </c>
      <c r="B222" t="s">
        <v>84</v>
      </c>
      <c r="C222" t="s">
        <v>85</v>
      </c>
      <c r="D222">
        <v>6.04</v>
      </c>
      <c r="F222">
        <v>181.88</v>
      </c>
      <c r="G222">
        <v>5.2</v>
      </c>
      <c r="H222" t="s">
        <v>93</v>
      </c>
      <c r="I222" s="2">
        <v>191.35499999999999</v>
      </c>
      <c r="J222" s="4">
        <v>600415</v>
      </c>
      <c r="L222" s="3">
        <v>600415.18999999994</v>
      </c>
      <c r="N222">
        <v>11951.5</v>
      </c>
      <c r="T222" s="6">
        <f t="shared" si="8"/>
        <v>105.2</v>
      </c>
    </row>
    <row r="223" spans="1:20" x14ac:dyDescent="0.35">
      <c r="A223">
        <v>37</v>
      </c>
      <c r="B223" t="s">
        <v>86</v>
      </c>
      <c r="C223" t="s">
        <v>87</v>
      </c>
      <c r="D223">
        <v>6.04</v>
      </c>
      <c r="F223">
        <v>181.88</v>
      </c>
      <c r="G223">
        <v>3.9</v>
      </c>
      <c r="H223" t="s">
        <v>93</v>
      </c>
      <c r="I223" s="2">
        <v>189.01</v>
      </c>
      <c r="J223" s="4">
        <v>593056</v>
      </c>
      <c r="L223" s="3">
        <v>593056.38</v>
      </c>
      <c r="N223">
        <v>18706.2</v>
      </c>
      <c r="T223" s="6">
        <f t="shared" si="8"/>
        <v>103.9</v>
      </c>
    </row>
    <row r="224" spans="1:20" x14ac:dyDescent="0.35">
      <c r="A224">
        <v>38</v>
      </c>
      <c r="B224" t="s">
        <v>88</v>
      </c>
    </row>
    <row r="225" spans="1:2" x14ac:dyDescent="0.35">
      <c r="A225">
        <v>39</v>
      </c>
      <c r="B225" t="s">
        <v>89</v>
      </c>
    </row>
    <row r="226" spans="1:2" x14ac:dyDescent="0.35">
      <c r="A226">
        <v>40</v>
      </c>
      <c r="B226" t="s">
        <v>90</v>
      </c>
    </row>
    <row r="227" spans="1:2" x14ac:dyDescent="0.35">
      <c r="A227">
        <v>41</v>
      </c>
      <c r="B227" t="s">
        <v>91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tabSelected="1" workbookViewId="0">
      <selection activeCell="C37" sqref="C37"/>
    </sheetView>
  </sheetViews>
  <sheetFormatPr baseColWidth="10" defaultRowHeight="14.5" x14ac:dyDescent="0.35"/>
  <cols>
    <col min="1" max="1" width="21.54296875" style="1" customWidth="1"/>
    <col min="2" max="2" width="17.81640625" customWidth="1"/>
    <col min="3" max="3" width="17.7265625" customWidth="1"/>
    <col min="4" max="4" width="11.7265625" customWidth="1"/>
    <col min="7" max="7" width="12.26953125" customWidth="1"/>
  </cols>
  <sheetData>
    <row r="1" spans="1:4" x14ac:dyDescent="0.35">
      <c r="B1" s="11" t="s">
        <v>118</v>
      </c>
      <c r="C1" s="11"/>
      <c r="D1" s="1"/>
    </row>
    <row r="2" spans="1:4" x14ac:dyDescent="0.35">
      <c r="B2" s="2" t="s">
        <v>119</v>
      </c>
      <c r="C2" s="2" t="s">
        <v>120</v>
      </c>
      <c r="D2" s="1"/>
    </row>
    <row r="3" spans="1:4" x14ac:dyDescent="0.35">
      <c r="A3" s="1" t="s">
        <v>139</v>
      </c>
      <c r="B3" s="6">
        <f>'260210_tese Lisa_vdt_TKbis'!T35</f>
        <v>6.0445701912666907</v>
      </c>
      <c r="C3" s="6">
        <f>'260210_tese Lisa_vdt_TKbis'!T147</f>
        <v>6.6928040418621446</v>
      </c>
    </row>
    <row r="4" spans="1:4" x14ac:dyDescent="0.35">
      <c r="A4" s="1" t="s">
        <v>140</v>
      </c>
      <c r="B4" s="6">
        <f>'260210_tese Lisa_vdt_TKbis'!T36</f>
        <v>5.6420841248303928</v>
      </c>
      <c r="C4" s="6">
        <f>'260210_tese Lisa_vdt_TKbis'!T148</f>
        <v>5.7053894165535963</v>
      </c>
    </row>
    <row r="5" spans="1:4" ht="10.5" customHeight="1" x14ac:dyDescent="0.35">
      <c r="A5" s="10"/>
      <c r="B5" s="10"/>
      <c r="C5" s="10"/>
    </row>
    <row r="6" spans="1:4" x14ac:dyDescent="0.35">
      <c r="A6" s="1" t="s">
        <v>121</v>
      </c>
      <c r="B6" s="6">
        <f>'260210_tese Lisa_vdt_TKbis'!T37</f>
        <v>383.61778635423849</v>
      </c>
      <c r="C6" s="6">
        <f>'260210_tese Lisa_vdt_TKbis'!T149</f>
        <v>7.7652818745692613</v>
      </c>
    </row>
    <row r="7" spans="1:4" x14ac:dyDescent="0.35">
      <c r="A7" s="1" t="s">
        <v>122</v>
      </c>
      <c r="B7" s="6">
        <f>'260210_tese Lisa_vdt_TKbis'!T38</f>
        <v>357.40911395418027</v>
      </c>
      <c r="C7" s="6">
        <f>'260210_tese Lisa_vdt_TKbis'!T150</f>
        <v>4.0325998214817016</v>
      </c>
    </row>
    <row r="8" spans="1:4" x14ac:dyDescent="0.35">
      <c r="A8" s="1" t="s">
        <v>123</v>
      </c>
      <c r="B8" s="6">
        <f>'260210_tese Lisa_vdt_TKbis'!T39</f>
        <v>339.52731428571434</v>
      </c>
      <c r="C8" s="6">
        <f>'260210_tese Lisa_vdt_TKbis'!T151</f>
        <v>11.314285714285717</v>
      </c>
    </row>
    <row r="9" spans="1:4" ht="5.5" customHeight="1" x14ac:dyDescent="0.35">
      <c r="B9" s="6"/>
      <c r="C9" s="6"/>
    </row>
    <row r="10" spans="1:4" x14ac:dyDescent="0.35">
      <c r="A10" s="1" t="s">
        <v>124</v>
      </c>
      <c r="B10" s="6">
        <f>'260210_tese Lisa_vdt_TKbis'!T40</f>
        <v>847.60863357972528</v>
      </c>
      <c r="C10" s="6">
        <f>'260210_tese Lisa_vdt_TKbis'!T152</f>
        <v>8.358994720168953</v>
      </c>
    </row>
    <row r="11" spans="1:4" x14ac:dyDescent="0.35">
      <c r="A11" s="1" t="s">
        <v>125</v>
      </c>
      <c r="B11" s="6">
        <f>'260210_tese Lisa_vdt_TKbis'!T41</f>
        <v>488.5037509727627</v>
      </c>
      <c r="C11" s="6">
        <f>'260210_tese Lisa_vdt_TKbis'!T153</f>
        <v>7.1784280155642017</v>
      </c>
    </row>
    <row r="12" spans="1:4" x14ac:dyDescent="0.35">
      <c r="A12" s="1" t="s">
        <v>126</v>
      </c>
      <c r="B12" s="6">
        <f>'260210_tese Lisa_vdt_TKbis'!T42</f>
        <v>842.31546888519131</v>
      </c>
      <c r="C12" s="6">
        <f>'260210_tese Lisa_vdt_TKbis'!T154</f>
        <v>5.0615161397670549</v>
      </c>
    </row>
    <row r="13" spans="1:4" ht="7" customHeight="1" x14ac:dyDescent="0.35">
      <c r="B13" s="6"/>
      <c r="C13" s="6"/>
    </row>
    <row r="14" spans="1:4" x14ac:dyDescent="0.35">
      <c r="A14" s="1" t="s">
        <v>127</v>
      </c>
      <c r="B14" s="6">
        <f>'260210_tese Lisa_vdt_TKbis'!T43</f>
        <v>628.16510065269665</v>
      </c>
      <c r="C14" s="6">
        <f>'260210_tese Lisa_vdt_TKbis'!T155</f>
        <v>21.124221229817927</v>
      </c>
    </row>
    <row r="15" spans="1:4" x14ac:dyDescent="0.35">
      <c r="A15" s="1" t="s">
        <v>128</v>
      </c>
      <c r="B15" s="6">
        <f>'260210_tese Lisa_vdt_TKbis'!T44</f>
        <v>683.90907343857248</v>
      </c>
      <c r="C15" s="6">
        <f>'260210_tese Lisa_vdt_TKbis'!T156</f>
        <v>5.7639533287577205</v>
      </c>
    </row>
    <row r="16" spans="1:4" x14ac:dyDescent="0.35">
      <c r="A16" s="1" t="s">
        <v>129</v>
      </c>
      <c r="B16" s="6">
        <f>'260210_tese Lisa_vdt_TKbis'!T45</f>
        <v>569.11821105527645</v>
      </c>
      <c r="C16" s="6">
        <f>'260210_tese Lisa_vdt_TKbis'!T157</f>
        <v>5.0700301507537677</v>
      </c>
    </row>
    <row r="17" spans="1:3" ht="10.5" customHeight="1" x14ac:dyDescent="0.35">
      <c r="A17" s="10"/>
      <c r="B17" s="10"/>
      <c r="C17" s="10"/>
    </row>
    <row r="18" spans="1:3" x14ac:dyDescent="0.35">
      <c r="A18" s="1" t="s">
        <v>130</v>
      </c>
      <c r="B18" s="6">
        <f>'260210_tese Lisa_vdt_TKbis'!T47</f>
        <v>5.6444819746671007</v>
      </c>
      <c r="C18" s="6">
        <f>'260210_tese Lisa_vdt_TKbis'!T159</f>
        <v>632.44715816823646</v>
      </c>
    </row>
    <row r="19" spans="1:3" x14ac:dyDescent="0.35">
      <c r="A19" s="1" t="s">
        <v>131</v>
      </c>
      <c r="B19" s="6">
        <f>'260210_tese Lisa_vdt_TKbis'!T48</f>
        <v>3.3082367409684861</v>
      </c>
      <c r="C19" s="6">
        <f>'260210_tese Lisa_vdt_TKbis'!T160</f>
        <v>571.05186779400469</v>
      </c>
    </row>
    <row r="20" spans="1:3" x14ac:dyDescent="0.35">
      <c r="A20" s="1" t="s">
        <v>132</v>
      </c>
      <c r="B20" s="6">
        <f>'260210_tese Lisa_vdt_TKbis'!T49</f>
        <v>3.3163636363636364</v>
      </c>
      <c r="C20" s="6">
        <f>'260210_tese Lisa_vdt_TKbis'!T161</f>
        <v>721.37890909090925</v>
      </c>
    </row>
    <row r="21" spans="1:3" ht="5.5" customHeight="1" x14ac:dyDescent="0.35">
      <c r="B21" s="6"/>
      <c r="C21" s="6"/>
    </row>
    <row r="22" spans="1:3" x14ac:dyDescent="0.35">
      <c r="A22" s="1" t="s">
        <v>133</v>
      </c>
      <c r="B22" s="6">
        <f>'260210_tese Lisa_vdt_TKbis'!T50</f>
        <v>6.2248972525404591</v>
      </c>
      <c r="C22" s="6">
        <f>'260210_tese Lisa_vdt_TKbis'!T162</f>
        <v>757.25128791870532</v>
      </c>
    </row>
    <row r="23" spans="1:3" x14ac:dyDescent="0.35">
      <c r="A23" s="1" t="s">
        <v>134</v>
      </c>
      <c r="B23" s="6">
        <f>'260210_tese Lisa_vdt_TKbis'!T51</f>
        <v>3.3093431734317336</v>
      </c>
      <c r="C23" s="6">
        <f>'260210_tese Lisa_vdt_TKbis'!T163</f>
        <v>949.76236162361636</v>
      </c>
    </row>
    <row r="24" spans="1:3" x14ac:dyDescent="0.35">
      <c r="A24" s="1" t="s">
        <v>135</v>
      </c>
      <c r="B24" s="6">
        <f>'260210_tese Lisa_vdt_TKbis'!T52</f>
        <v>3.4024430264357344</v>
      </c>
      <c r="C24" s="6">
        <f>'260210_tese Lisa_vdt_TKbis'!T164</f>
        <v>900.55224065633547</v>
      </c>
    </row>
    <row r="25" spans="1:3" ht="6" customHeight="1" x14ac:dyDescent="0.35">
      <c r="B25" s="6"/>
      <c r="C25" s="6"/>
    </row>
    <row r="26" spans="1:3" x14ac:dyDescent="0.35">
      <c r="A26" s="1" t="s">
        <v>136</v>
      </c>
      <c r="B26" s="6">
        <f>'260210_tese Lisa_vdt_TKbis'!T53</f>
        <v>3.0300845070422535</v>
      </c>
      <c r="C26" s="6">
        <f>'260210_tese Lisa_vdt_TKbis'!T165</f>
        <v>1319.6200563380282</v>
      </c>
    </row>
    <row r="27" spans="1:3" x14ac:dyDescent="0.35">
      <c r="A27" s="1" t="s">
        <v>137</v>
      </c>
      <c r="B27" s="6">
        <f>'260210_tese Lisa_vdt_TKbis'!T54</f>
        <v>3.5862789783889979</v>
      </c>
      <c r="C27" s="6">
        <f>'260210_tese Lisa_vdt_TKbis'!T166</f>
        <v>860.11115127701373</v>
      </c>
    </row>
    <row r="28" spans="1:3" x14ac:dyDescent="0.35">
      <c r="A28" s="1" t="s">
        <v>138</v>
      </c>
      <c r="B28" s="6">
        <f>'260210_tese Lisa_vdt_TKbis'!T55</f>
        <v>3.05171320754717</v>
      </c>
      <c r="C28" s="6">
        <f>'260210_tese Lisa_vdt_TKbis'!T167</f>
        <v>1208.820769811321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facteur récupération</vt:lpstr>
      <vt:lpstr>260210_tese Lisa_vdt_TKbis</vt:lpstr>
      <vt:lpstr>résultats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Ghislaine Delarue</dc:creator>
  <cp:lastModifiedBy>Ghislaine Delarue</cp:lastModifiedBy>
  <dcterms:created xsi:type="dcterms:W3CDTF">2026-02-16T09:59:02Z</dcterms:created>
  <dcterms:modified xsi:type="dcterms:W3CDTF">2026-02-18T08:56:54Z</dcterms:modified>
</cp:coreProperties>
</file>