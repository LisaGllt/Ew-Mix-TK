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Chemical_analysis_raw/"/>
    </mc:Choice>
  </mc:AlternateContent>
  <xr:revisionPtr revIDLastSave="0" documentId="13_ncr:1_{2C34314E-F203-4547-9AA4-DA6BBC152294}" xr6:coauthVersionLast="47" xr6:coauthVersionMax="47" xr10:uidLastSave="{00000000-0000-0000-0000-000000000000}"/>
  <bookViews>
    <workbookView xWindow="0" yWindow="740" windowWidth="17220" windowHeight="11500" activeTab="3" xr2:uid="{00000000-000D-0000-FFFF-FFFF00000000}"/>
  </bookViews>
  <sheets>
    <sheet name="dose_epx_gamme basse" sheetId="2" r:id="rId1"/>
    <sheet name="dose_epx_gamme haute" sheetId="3" r:id="rId2"/>
    <sheet name="dose_imd" sheetId="1" r:id="rId3"/>
    <sheet name="résulta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4" l="1"/>
  <c r="L15" i="4"/>
  <c r="M5" i="4"/>
  <c r="M6" i="4"/>
  <c r="M7" i="4"/>
  <c r="M8" i="4"/>
  <c r="M10" i="4"/>
  <c r="M11" i="4"/>
  <c r="M12" i="4"/>
  <c r="M13" i="4"/>
  <c r="L5" i="4"/>
  <c r="L6" i="4"/>
  <c r="L7" i="4"/>
  <c r="L9" i="4"/>
  <c r="L10" i="4"/>
  <c r="L11" i="4"/>
  <c r="L12" i="4"/>
  <c r="L4" i="4"/>
  <c r="I13" i="4"/>
  <c r="K13" i="4" s="1"/>
  <c r="J13" i="4"/>
  <c r="I8" i="4"/>
  <c r="F9" i="4"/>
  <c r="F3" i="4"/>
  <c r="H10" i="4"/>
  <c r="H11" i="4"/>
  <c r="H12" i="4"/>
  <c r="H13" i="4"/>
  <c r="H9" i="4"/>
  <c r="C10" i="4"/>
  <c r="C11" i="4"/>
  <c r="C12" i="4"/>
  <c r="C13" i="4"/>
  <c r="C9" i="4"/>
  <c r="R76" i="1"/>
  <c r="S76" i="1" s="1"/>
  <c r="R75" i="1"/>
  <c r="S75" i="1" s="1"/>
  <c r="U36" i="1" l="1"/>
  <c r="U35" i="1"/>
  <c r="R24" i="1"/>
  <c r="R25" i="1"/>
  <c r="R26" i="1"/>
  <c r="R27" i="1"/>
  <c r="S27" i="1" s="1"/>
  <c r="R28" i="1"/>
  <c r="S28" i="1" s="1"/>
  <c r="R29" i="1"/>
  <c r="S29" i="1" s="1"/>
  <c r="R30" i="1"/>
  <c r="S30" i="1"/>
  <c r="R31" i="1"/>
  <c r="S31" i="1" s="1"/>
  <c r="R32" i="1"/>
  <c r="S32" i="1" s="1"/>
  <c r="R33" i="1"/>
  <c r="S33" i="1"/>
  <c r="R34" i="1"/>
  <c r="S34" i="1" s="1"/>
  <c r="R35" i="1"/>
  <c r="R36" i="1"/>
  <c r="R37" i="1"/>
  <c r="S37" i="1" s="1"/>
  <c r="R38" i="1"/>
  <c r="S38" i="1"/>
  <c r="R39" i="1"/>
  <c r="S39" i="1" s="1"/>
  <c r="R40" i="1"/>
  <c r="S40" i="1" s="1"/>
  <c r="R41" i="1"/>
  <c r="S41" i="1"/>
  <c r="R42" i="1"/>
  <c r="S42" i="1" s="1"/>
  <c r="R43" i="1"/>
  <c r="S43" i="1" s="1"/>
  <c r="R44" i="1"/>
  <c r="S44" i="1" s="1"/>
  <c r="R23" i="1"/>
  <c r="S23" i="1" s="1"/>
  <c r="S53" i="3"/>
  <c r="T53" i="3" s="1"/>
  <c r="I10" i="4" s="1"/>
  <c r="S54" i="3"/>
  <c r="T54" i="3" s="1"/>
  <c r="J10" i="4" s="1"/>
  <c r="S55" i="3"/>
  <c r="T55" i="3" s="1"/>
  <c r="I9" i="4" s="1"/>
  <c r="S56" i="3"/>
  <c r="T56" i="3" s="1"/>
  <c r="J9" i="4" s="1"/>
  <c r="S52" i="3"/>
  <c r="T52" i="3" s="1"/>
  <c r="J11" i="4" s="1"/>
  <c r="S51" i="3"/>
  <c r="T51" i="3" s="1"/>
  <c r="I11" i="4" s="1"/>
  <c r="S50" i="3"/>
  <c r="T50" i="3" s="1"/>
  <c r="J12" i="4" s="1"/>
  <c r="S49" i="3"/>
  <c r="T49" i="3" s="1"/>
  <c r="I12" i="4" s="1"/>
  <c r="K12" i="4" s="1"/>
  <c r="S48" i="3"/>
  <c r="T48" i="3" s="1"/>
  <c r="S47" i="3"/>
  <c r="T47" i="3" s="1"/>
  <c r="S46" i="3"/>
  <c r="T46" i="3" s="1"/>
  <c r="S45" i="3"/>
  <c r="T45" i="3" s="1"/>
  <c r="U44" i="3"/>
  <c r="S44" i="3"/>
  <c r="T44" i="3" s="1"/>
  <c r="U43" i="3"/>
  <c r="S43" i="3"/>
  <c r="S42" i="3"/>
  <c r="T42" i="3" s="1"/>
  <c r="S41" i="3"/>
  <c r="T41" i="3" s="1"/>
  <c r="S40" i="3"/>
  <c r="T40" i="3" s="1"/>
  <c r="S39" i="3"/>
  <c r="T39" i="3" s="1"/>
  <c r="U38" i="3"/>
  <c r="S38" i="3"/>
  <c r="U37" i="3"/>
  <c r="S37" i="3"/>
  <c r="T37" i="3" s="1"/>
  <c r="U44" i="2"/>
  <c r="U43" i="2"/>
  <c r="T39" i="2"/>
  <c r="I7" i="4" s="1"/>
  <c r="K7" i="4" s="1"/>
  <c r="T47" i="2"/>
  <c r="I4" i="4" s="1"/>
  <c r="K4" i="4" s="1"/>
  <c r="T31" i="2"/>
  <c r="I3" i="4" s="1"/>
  <c r="K3" i="4" s="1"/>
  <c r="S34" i="2"/>
  <c r="T34" i="2" s="1"/>
  <c r="J8" i="4" s="1"/>
  <c r="K8" i="4" s="1"/>
  <c r="S37" i="2"/>
  <c r="S38" i="2"/>
  <c r="T38" i="2" s="1"/>
  <c r="S39" i="2"/>
  <c r="S40" i="2"/>
  <c r="T40" i="2" s="1"/>
  <c r="J7" i="4" s="1"/>
  <c r="S41" i="2"/>
  <c r="T41" i="2" s="1"/>
  <c r="I6" i="4" s="1"/>
  <c r="S42" i="2"/>
  <c r="T42" i="2" s="1"/>
  <c r="J6" i="4" s="1"/>
  <c r="S43" i="2"/>
  <c r="T43" i="2" s="1"/>
  <c r="S44" i="2"/>
  <c r="T44" i="2" s="1"/>
  <c r="S45" i="2"/>
  <c r="T45" i="2" s="1"/>
  <c r="I5" i="4" s="1"/>
  <c r="S46" i="2"/>
  <c r="T46" i="2" s="1"/>
  <c r="J5" i="4" s="1"/>
  <c r="S47" i="2"/>
  <c r="S48" i="2"/>
  <c r="T48" i="2" s="1"/>
  <c r="J4" i="4" s="1"/>
  <c r="S49" i="2"/>
  <c r="T49" i="2" s="1"/>
  <c r="S50" i="2"/>
  <c r="T50" i="2" s="1"/>
  <c r="S51" i="2"/>
  <c r="T51" i="2" s="1"/>
  <c r="S52" i="2"/>
  <c r="T52" i="2" s="1"/>
  <c r="S32" i="2"/>
  <c r="T32" i="2" s="1"/>
  <c r="J3" i="4" s="1"/>
  <c r="S31" i="2"/>
  <c r="U38" i="2"/>
  <c r="U37" i="2"/>
  <c r="K9" i="4" l="1"/>
  <c r="S35" i="1"/>
  <c r="V35" i="1"/>
  <c r="K10" i="4"/>
  <c r="K5" i="4"/>
  <c r="V37" i="2"/>
  <c r="K6" i="4"/>
  <c r="S36" i="1"/>
  <c r="V36" i="1"/>
  <c r="V44" i="3"/>
  <c r="V38" i="3"/>
  <c r="K11" i="4"/>
  <c r="V38" i="2"/>
  <c r="V43" i="2"/>
  <c r="T37" i="2"/>
  <c r="V44" i="2"/>
  <c r="V43" i="3"/>
  <c r="T43" i="3"/>
  <c r="T38" i="3"/>
  <c r="V37" i="3"/>
  <c r="W35" i="1" l="1"/>
  <c r="T76" i="1" l="1"/>
  <c r="T75" i="1"/>
  <c r="T37" i="1"/>
  <c r="D10" i="4" s="1"/>
  <c r="T23" i="1"/>
  <c r="D4" i="4" s="1"/>
  <c r="F4" i="4" s="1"/>
  <c r="T28" i="1"/>
  <c r="E5" i="4" s="1"/>
  <c r="T42" i="1"/>
  <c r="E12" i="4" s="1"/>
  <c r="T39" i="1"/>
  <c r="D11" i="4" s="1"/>
  <c r="F11" i="4" s="1"/>
  <c r="T27" i="1"/>
  <c r="D5" i="4" s="1"/>
  <c r="F5" i="4" s="1"/>
  <c r="T43" i="1"/>
  <c r="D13" i="4" s="1"/>
  <c r="T29" i="1"/>
  <c r="D6" i="4" s="1"/>
  <c r="T34" i="1"/>
  <c r="E8" i="4" s="1"/>
  <c r="T31" i="1"/>
  <c r="D7" i="4" s="1"/>
  <c r="F7" i="4" s="1"/>
  <c r="T33" i="1"/>
  <c r="D8" i="4" s="1"/>
  <c r="T44" i="1"/>
  <c r="E13" i="4" s="1"/>
  <c r="T38" i="1"/>
  <c r="E10" i="4" s="1"/>
  <c r="F10" i="4" s="1"/>
  <c r="T30" i="1"/>
  <c r="E6" i="4" s="1"/>
  <c r="T32" i="1"/>
  <c r="E7" i="4" s="1"/>
  <c r="T41" i="1"/>
  <c r="D12" i="4" s="1"/>
  <c r="T40" i="1"/>
  <c r="E11" i="4" s="1"/>
  <c r="F8" i="4" l="1"/>
  <c r="F6" i="4"/>
  <c r="F12" i="4"/>
  <c r="F13" i="4"/>
</calcChain>
</file>

<file path=xl/sharedStrings.xml><?xml version="1.0" encoding="utf-8"?>
<sst xmlns="http://schemas.openxmlformats.org/spreadsheetml/2006/main" count="539" uniqueCount="149">
  <si>
    <t>Compound 2:  Imidacloprid</t>
  </si>
  <si>
    <t>Name</t>
  </si>
  <si>
    <t>Sample Text</t>
  </si>
  <si>
    <t>Type</t>
  </si>
  <si>
    <t>Std, Conc</t>
  </si>
  <si>
    <t>RT</t>
  </si>
  <si>
    <t>%Dev</t>
  </si>
  <si>
    <t>Conc,</t>
  </si>
  <si>
    <t>Area</t>
  </si>
  <si>
    <t>IS Area</t>
  </si>
  <si>
    <t>Response</t>
  </si>
  <si>
    <t>Detection Flags</t>
  </si>
  <si>
    <t>Sec,Area</t>
  </si>
  <si>
    <t>S/N</t>
  </si>
  <si>
    <t>Ion Ratio</t>
  </si>
  <si>
    <t>251126_gamme_B_2</t>
  </si>
  <si>
    <t>Standard</t>
  </si>
  <si>
    <t>bb</t>
  </si>
  <si>
    <t>251126_gamme_B_4</t>
  </si>
  <si>
    <t>251126_gamme_B_6</t>
  </si>
  <si>
    <t>251126_gamme_B_8</t>
  </si>
  <si>
    <t>bbXI</t>
  </si>
  <si>
    <t>251126_gamme_B_0</t>
  </si>
  <si>
    <t>251126_gamme_C_1</t>
  </si>
  <si>
    <t>251126_gamme_C_1bis</t>
  </si>
  <si>
    <t>251126_gamme_C_2</t>
  </si>
  <si>
    <t>251126_gamme_C_2bis</t>
  </si>
  <si>
    <t>251126_gamme_C_3</t>
  </si>
  <si>
    <t>251126_gamme_C_4</t>
  </si>
  <si>
    <t>251126_gamme_C_5</t>
  </si>
  <si>
    <t>251126_gamme_C_6</t>
  </si>
  <si>
    <t>251126_gamme_C_7</t>
  </si>
  <si>
    <t>251126_gamme_C_8</t>
  </si>
  <si>
    <t>251126_blanc_MeOH_6</t>
  </si>
  <si>
    <t>bbI</t>
  </si>
  <si>
    <t>251126_blanc_MeOH_7</t>
  </si>
  <si>
    <t>251126_blanc_eau7</t>
  </si>
  <si>
    <t>251126_blanc_eau8</t>
  </si>
  <si>
    <t>251126_dose_imd_e2_1</t>
  </si>
  <si>
    <t>251126_dose_imd_e2_2</t>
  </si>
  <si>
    <t>251126_dose_imd_e5_1</t>
  </si>
  <si>
    <t>MMI</t>
  </si>
  <si>
    <t>251126_dose_imd_e5_2</t>
  </si>
  <si>
    <t>251126_dose_imd_f2_1</t>
  </si>
  <si>
    <t>251126_dose_imd_f2_2</t>
  </si>
  <si>
    <t>251126_dose_imd_g2_1</t>
  </si>
  <si>
    <t>251126_dose_imd_g2_2</t>
  </si>
  <si>
    <t>251126_dose_imd_h2_1</t>
  </si>
  <si>
    <t>251126_dose_imd_h2_2</t>
  </si>
  <si>
    <t>251126_dose_imd_i2_1</t>
  </si>
  <si>
    <t>251126_dose_imd_i2_2</t>
  </si>
  <si>
    <t>251126_dose_imd_NOD_1</t>
  </si>
  <si>
    <t>251126_dose_imd_NOD_2</t>
  </si>
  <si>
    <t>251126_dose_imd_f5_1</t>
  </si>
  <si>
    <t>251126_dose_imd_f5_2</t>
  </si>
  <si>
    <t>251126_dose_imd_g5_1</t>
  </si>
  <si>
    <t>251126_dose_imd_g5_2</t>
  </si>
  <si>
    <t>251126_dose_imd_h5_1</t>
  </si>
  <si>
    <t>251126_dose_imd_h5_2</t>
  </si>
  <si>
    <t>251126_dose_imd_i5_1</t>
  </si>
  <si>
    <t>251126_dose_imd_i5_2</t>
  </si>
  <si>
    <t>251126_blanc_MeOH_8</t>
  </si>
  <si>
    <t>251126_blanc_MeOH_9</t>
  </si>
  <si>
    <t>251126_blanc_MeOH_10</t>
  </si>
  <si>
    <t>251126_blanc_eau9</t>
  </si>
  <si>
    <t>251126_blanc_eau10</t>
  </si>
  <si>
    <t>251126_blanc_eau11</t>
  </si>
  <si>
    <t xml:space="preserve">Quantify Compound Summary Report </t>
  </si>
  <si>
    <t>Printed Fri Nov 28 09:50:15 2025</t>
  </si>
  <si>
    <t>Compound 1:  Epoxiconazole</t>
  </si>
  <si>
    <t>251126_gamme_A_1</t>
  </si>
  <si>
    <t>251126_gamme_A_1bis</t>
  </si>
  <si>
    <t>251126_gamme_A_2</t>
  </si>
  <si>
    <t>251126_gamme_A_2bis</t>
  </si>
  <si>
    <t>251126_gamme_A_3</t>
  </si>
  <si>
    <t>251126_gamme_A_4</t>
  </si>
  <si>
    <t>251126_gamme_A_5</t>
  </si>
  <si>
    <t>251126_gamme_A_6</t>
  </si>
  <si>
    <t>251126_gamme_A_7</t>
  </si>
  <si>
    <t>251126_gamme_A_8</t>
  </si>
  <si>
    <t>251126_blanc_MeOH_1</t>
  </si>
  <si>
    <t>251126_blanc_MeOH_2</t>
  </si>
  <si>
    <t>251126_blanc_MeOH_3</t>
  </si>
  <si>
    <t>251126_blanc_eau2</t>
  </si>
  <si>
    <t>251126_blanc_eau3</t>
  </si>
  <si>
    <t>251126_blanc_eau4</t>
  </si>
  <si>
    <t>251126_blanc_manip_1</t>
  </si>
  <si>
    <t>251126_blanc_manip_2</t>
  </si>
  <si>
    <t>251126_temoin_N0_D_1</t>
  </si>
  <si>
    <t>251126_temoin_N0_D_2</t>
  </si>
  <si>
    <t>251126_dose_epx_i2_1</t>
  </si>
  <si>
    <t>251126_dose_epx_i2_2</t>
  </si>
  <si>
    <t>251126_dose_epx_i5_1</t>
  </si>
  <si>
    <t>251126_dose_epx_i5_2</t>
  </si>
  <si>
    <t>251126_dose_epx_NOD_S5_1</t>
  </si>
  <si>
    <t>251126_dose_epx_NOD_S5_2</t>
  </si>
  <si>
    <t>251126_dose_epx_h2_1</t>
  </si>
  <si>
    <t>251126_dose_epx_h2_2</t>
  </si>
  <si>
    <t>251126_dose_epx_g2_1</t>
  </si>
  <si>
    <t>251126_dose_epx_g2_2</t>
  </si>
  <si>
    <t>251126_dose_epx_NOD_S2_1</t>
  </si>
  <si>
    <t>251126_dose_epx_NOD_S2_2</t>
  </si>
  <si>
    <t>251126_dose_epx_f2_1</t>
  </si>
  <si>
    <t>251126_dose_epx_f2_2</t>
  </si>
  <si>
    <t>251126_dose_epx_e2_1</t>
  </si>
  <si>
    <t>251126_dose_epx_e2_2</t>
  </si>
  <si>
    <t>251126_dose_epx_h5_1</t>
  </si>
  <si>
    <t>251126_dose_epx_h5_2</t>
  </si>
  <si>
    <t>251126_dose_epx_g5_1</t>
  </si>
  <si>
    <t>251126_dose_epx_g5_2</t>
  </si>
  <si>
    <t>251126_dose_epx_f5_1</t>
  </si>
  <si>
    <t>251126_dose_epx_f5_2</t>
  </si>
  <si>
    <t>251126_dose_epx_e5_1</t>
  </si>
  <si>
    <t>251126_dose_epx_e5_2</t>
  </si>
  <si>
    <t>251126_blanc_MeOH_4</t>
  </si>
  <si>
    <t>251126_blanc_MeOH_5</t>
  </si>
  <si>
    <t>251126_blanc_eau5</t>
  </si>
  <si>
    <t>251126_blanc_eau6</t>
  </si>
  <si>
    <t>Printed Fri Nov 28 09:54:58 2025</t>
  </si>
  <si>
    <t>bbX</t>
  </si>
  <si>
    <t>dilution</t>
  </si>
  <si>
    <t>prise d'essai en g</t>
  </si>
  <si>
    <t>ng/g</t>
  </si>
  <si>
    <t>quantité théorique µg</t>
  </si>
  <si>
    <t>quantité extraite µg</t>
  </si>
  <si>
    <t>RDT %</t>
  </si>
  <si>
    <t>pas de correction de rendement</t>
  </si>
  <si>
    <t>hors gamme</t>
  </si>
  <si>
    <t>MM</t>
  </si>
  <si>
    <t>moyenne rdt %</t>
  </si>
  <si>
    <t>ng/g corrigé du rdt</t>
  </si>
  <si>
    <t>ligne</t>
  </si>
  <si>
    <t>ratio</t>
  </si>
  <si>
    <t>dose nominale IMD ng/g</t>
  </si>
  <si>
    <t>dose nominale EPX ng/g</t>
  </si>
  <si>
    <t>E</t>
  </si>
  <si>
    <t>F</t>
  </si>
  <si>
    <t>G</t>
  </si>
  <si>
    <t>H</t>
  </si>
  <si>
    <t>I</t>
  </si>
  <si>
    <t>sol témoin N0</t>
  </si>
  <si>
    <t>D</t>
  </si>
  <si>
    <t>IMD quantifié dans les sols ng/g</t>
  </si>
  <si>
    <t>rep 1</t>
  </si>
  <si>
    <t>rep2</t>
  </si>
  <si>
    <t>moyenne</t>
  </si>
  <si>
    <t>EPX quantifié dans les sols ng/g</t>
  </si>
  <si>
    <t>dopé imd</t>
  </si>
  <si>
    <t>dopé epx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</si>
</sst>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#,##0.0"/>
    <numFmt numFmtId="168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3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  <xf numFmtId="3" fontId="0" fillId="33" borderId="0" xfId="0" applyNumberFormat="1" applyFill="1"/>
    <xf numFmtId="3" fontId="0" fillId="0" borderId="0" xfId="0" applyNumberFormat="1" applyAlignment="1">
      <alignment horizontal="center"/>
    </xf>
    <xf numFmtId="3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33" borderId="0" xfId="0" applyNumberFormat="1" applyFill="1" applyAlignment="1">
      <alignment horizontal="center"/>
    </xf>
    <xf numFmtId="0" fontId="0" fillId="34" borderId="0" xfId="0" applyFill="1"/>
    <xf numFmtId="0" fontId="16" fillId="34" borderId="0" xfId="0" applyFont="1" applyFill="1" applyAlignment="1">
      <alignment horizontal="center"/>
    </xf>
    <xf numFmtId="3" fontId="0" fillId="34" borderId="0" xfId="0" applyNumberFormat="1" applyFill="1"/>
    <xf numFmtId="3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165" fontId="0" fillId="34" borderId="0" xfId="0" applyNumberFormat="1" applyFill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" fontId="0" fillId="3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4" fontId="0" fillId="33" borderId="0" xfId="0" applyNumberFormat="1" applyFill="1"/>
    <xf numFmtId="165" fontId="14" fillId="33" borderId="0" xfId="0" applyNumberFormat="1" applyFont="1" applyFill="1" applyAlignment="1">
      <alignment horizontal="center"/>
    </xf>
    <xf numFmtId="164" fontId="0" fillId="33" borderId="0" xfId="0" applyNumberFormat="1" applyFill="1"/>
    <xf numFmtId="166" fontId="0" fillId="33" borderId="0" xfId="0" applyNumberFormat="1" applyFill="1" applyAlignment="1">
      <alignment horizontal="center"/>
    </xf>
    <xf numFmtId="167" fontId="0" fillId="34" borderId="0" xfId="0" applyNumberFormat="1" applyFill="1"/>
    <xf numFmtId="167" fontId="0" fillId="0" borderId="0" xfId="0" applyNumberFormat="1"/>
    <xf numFmtId="167" fontId="0" fillId="33" borderId="0" xfId="0" applyNumberFormat="1" applyFill="1"/>
    <xf numFmtId="168" fontId="0" fillId="0" borderId="0" xfId="0" applyNumberFormat="1" applyAlignment="1">
      <alignment horizontal="center"/>
    </xf>
    <xf numFmtId="168" fontId="0" fillId="34" borderId="0" xfId="0" applyNumberFormat="1" applyFill="1" applyAlignment="1">
      <alignment horizontal="center"/>
    </xf>
    <xf numFmtId="166" fontId="0" fillId="34" borderId="0" xfId="0" applyNumberFormat="1" applyFill="1" applyAlignment="1">
      <alignment horizontal="center"/>
    </xf>
    <xf numFmtId="0" fontId="0" fillId="35" borderId="0" xfId="0" applyFill="1"/>
    <xf numFmtId="0" fontId="16" fillId="35" borderId="0" xfId="0" applyFont="1" applyFill="1" applyAlignment="1">
      <alignment horizontal="center"/>
    </xf>
    <xf numFmtId="3" fontId="0" fillId="35" borderId="0" xfId="0" applyNumberFormat="1" applyFill="1"/>
    <xf numFmtId="0" fontId="0" fillId="35" borderId="0" xfId="0" applyFill="1" applyAlignment="1">
      <alignment horizontal="center"/>
    </xf>
    <xf numFmtId="166" fontId="0" fillId="35" borderId="0" xfId="0" applyNumberFormat="1" applyFill="1" applyAlignment="1">
      <alignment horizontal="center"/>
    </xf>
    <xf numFmtId="165" fontId="0" fillId="35" borderId="0" xfId="0" applyNumberFormat="1" applyFill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35" borderId="10" xfId="0" applyFill="1" applyBorder="1" applyAlignment="1">
      <alignment horizontal="center" wrapText="1"/>
    </xf>
    <xf numFmtId="0" fontId="0" fillId="35" borderId="10" xfId="0" applyFill="1" applyBorder="1"/>
    <xf numFmtId="165" fontId="0" fillId="0" borderId="10" xfId="0" applyNumberFormat="1" applyBorder="1" applyAlignment="1">
      <alignment horizontal="center"/>
    </xf>
    <xf numFmtId="167" fontId="0" fillId="35" borderId="10" xfId="0" applyNumberFormat="1" applyFill="1" applyBorder="1"/>
    <xf numFmtId="167" fontId="0" fillId="0" borderId="10" xfId="0" applyNumberFormat="1" applyBorder="1" applyAlignment="1">
      <alignment horizontal="center"/>
    </xf>
    <xf numFmtId="0" fontId="0" fillId="35" borderId="10" xfId="0" applyFill="1" applyBorder="1" applyAlignment="1">
      <alignment horizontal="center"/>
    </xf>
    <xf numFmtId="167" fontId="0" fillId="35" borderId="10" xfId="0" applyNumberFormat="1" applyFill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167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opLeftCell="A37" zoomScaleNormal="100" workbookViewId="0">
      <selection activeCell="C45" sqref="C45"/>
    </sheetView>
  </sheetViews>
  <sheetFormatPr baseColWidth="10" defaultRowHeight="15" x14ac:dyDescent="0.2"/>
  <cols>
    <col min="1" max="1" width="4.1640625" customWidth="1"/>
    <col min="2" max="2" width="25.83203125" bestFit="1" customWidth="1"/>
    <col min="3" max="3" width="10.1640625" customWidth="1"/>
    <col min="4" max="4" width="9.33203125" customWidth="1"/>
    <col min="5" max="5" width="8.33203125" customWidth="1"/>
    <col min="6" max="6" width="5.5" customWidth="1"/>
    <col min="7" max="7" width="6" customWidth="1"/>
    <col min="8" max="8" width="8.6640625" style="2" customWidth="1"/>
    <col min="9" max="9" width="10.83203125" style="3"/>
    <col min="10" max="10" width="4.6640625" style="3" customWidth="1"/>
    <col min="11" max="11" width="10.83203125" style="3"/>
    <col min="12" max="12" width="4.6640625" style="3" customWidth="1"/>
    <col min="13" max="14" width="10.83203125" style="3"/>
    <col min="16" max="16" width="3.33203125" customWidth="1"/>
    <col min="17" max="17" width="10.83203125" style="1"/>
    <col min="18" max="18" width="15.33203125" style="1" bestFit="1" customWidth="1"/>
    <col min="19" max="19" width="17.83203125" style="10" bestFit="1" customWidth="1"/>
    <col min="20" max="20" width="10.83203125" style="19"/>
    <col min="21" max="21" width="19.6640625" bestFit="1" customWidth="1"/>
  </cols>
  <sheetData>
    <row r="1" spans="1:15" x14ac:dyDescent="0.2">
      <c r="A1" t="s">
        <v>67</v>
      </c>
    </row>
    <row r="3" spans="1:15" x14ac:dyDescent="0.2">
      <c r="A3" t="s">
        <v>68</v>
      </c>
    </row>
    <row r="5" spans="1:15" x14ac:dyDescent="0.2">
      <c r="A5" t="s">
        <v>69</v>
      </c>
    </row>
    <row r="7" spans="1:15" x14ac:dyDescent="0.2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t="s">
        <v>14</v>
      </c>
    </row>
    <row r="8" spans="1:15" x14ac:dyDescent="0.2">
      <c r="A8">
        <v>1</v>
      </c>
      <c r="B8" t="s">
        <v>70</v>
      </c>
      <c r="D8" t="s">
        <v>16</v>
      </c>
      <c r="E8">
        <v>0.26400000000000001</v>
      </c>
      <c r="F8">
        <v>10.49</v>
      </c>
      <c r="G8">
        <v>-3</v>
      </c>
      <c r="H8" s="2">
        <v>0.26</v>
      </c>
      <c r="I8" s="3">
        <v>7629</v>
      </c>
      <c r="K8" s="3">
        <v>7628.6009999999997</v>
      </c>
      <c r="L8" s="3" t="s">
        <v>17</v>
      </c>
      <c r="M8" s="3">
        <v>2479.761</v>
      </c>
      <c r="N8" s="3">
        <v>725.13</v>
      </c>
      <c r="O8">
        <v>3.0760000000000001</v>
      </c>
    </row>
    <row r="9" spans="1:15" x14ac:dyDescent="0.2">
      <c r="A9">
        <v>2</v>
      </c>
      <c r="B9" t="s">
        <v>71</v>
      </c>
      <c r="D9" t="s">
        <v>16</v>
      </c>
      <c r="E9">
        <v>0.26400000000000001</v>
      </c>
      <c r="F9">
        <v>10.49</v>
      </c>
      <c r="G9">
        <v>-0.8</v>
      </c>
      <c r="H9" s="2">
        <v>0.26</v>
      </c>
      <c r="I9" s="3">
        <v>7785</v>
      </c>
      <c r="K9" s="3">
        <v>7784.72</v>
      </c>
      <c r="L9" s="3" t="s">
        <v>17</v>
      </c>
      <c r="M9" s="3">
        <v>2579.4430000000002</v>
      </c>
      <c r="N9" s="3">
        <v>994.73400000000004</v>
      </c>
      <c r="O9">
        <v>3.0179999999999998</v>
      </c>
    </row>
    <row r="10" spans="1:15" x14ac:dyDescent="0.2">
      <c r="A10">
        <v>3</v>
      </c>
      <c r="B10" t="s">
        <v>72</v>
      </c>
      <c r="D10" t="s">
        <v>16</v>
      </c>
      <c r="E10">
        <v>0.495</v>
      </c>
      <c r="F10">
        <v>10.49</v>
      </c>
      <c r="G10">
        <v>-1.8</v>
      </c>
      <c r="H10" s="2">
        <v>0.49</v>
      </c>
      <c r="I10" s="3">
        <v>13933</v>
      </c>
      <c r="K10" s="3">
        <v>13932.592000000001</v>
      </c>
      <c r="L10" s="3" t="s">
        <v>17</v>
      </c>
      <c r="M10" s="3">
        <v>4509.2330000000002</v>
      </c>
      <c r="N10" s="3">
        <v>1159.8409999999999</v>
      </c>
      <c r="O10">
        <v>3.09</v>
      </c>
    </row>
    <row r="11" spans="1:15" x14ac:dyDescent="0.2">
      <c r="A11">
        <v>4</v>
      </c>
      <c r="B11" t="s">
        <v>73</v>
      </c>
      <c r="D11" t="s">
        <v>16</v>
      </c>
      <c r="E11">
        <v>0.495</v>
      </c>
      <c r="F11">
        <v>10.49</v>
      </c>
      <c r="G11">
        <v>-1.5</v>
      </c>
      <c r="H11" s="2">
        <v>0.49</v>
      </c>
      <c r="I11" s="3">
        <v>13970</v>
      </c>
      <c r="K11" s="3">
        <v>13970.325000000001</v>
      </c>
      <c r="L11" s="3" t="s">
        <v>17</v>
      </c>
      <c r="M11" s="3">
        <v>4517.808</v>
      </c>
      <c r="N11" s="3">
        <v>509.053</v>
      </c>
      <c r="O11">
        <v>3.0920000000000001</v>
      </c>
    </row>
    <row r="12" spans="1:15" x14ac:dyDescent="0.2">
      <c r="A12">
        <v>5</v>
      </c>
      <c r="B12" t="s">
        <v>74</v>
      </c>
      <c r="D12" t="s">
        <v>16</v>
      </c>
      <c r="E12">
        <v>0.99</v>
      </c>
      <c r="F12">
        <v>10.49</v>
      </c>
      <c r="G12">
        <v>3.2</v>
      </c>
      <c r="H12" s="2">
        <v>1.02</v>
      </c>
      <c r="I12" s="3">
        <v>28552</v>
      </c>
      <c r="K12" s="3">
        <v>28552.418000000001</v>
      </c>
      <c r="L12" s="3" t="s">
        <v>17</v>
      </c>
      <c r="M12" s="3">
        <v>8808.9750000000004</v>
      </c>
      <c r="N12" s="3">
        <v>1481.192</v>
      </c>
      <c r="O12">
        <v>3.2410000000000001</v>
      </c>
    </row>
    <row r="13" spans="1:15" x14ac:dyDescent="0.2">
      <c r="A13">
        <v>6</v>
      </c>
      <c r="B13" t="s">
        <v>75</v>
      </c>
      <c r="D13" t="s">
        <v>16</v>
      </c>
      <c r="E13">
        <v>2.2999999999999998</v>
      </c>
      <c r="F13">
        <v>10.49</v>
      </c>
      <c r="G13">
        <v>-1</v>
      </c>
      <c r="H13" s="2">
        <v>2.2799999999999998</v>
      </c>
      <c r="I13" s="3">
        <v>62639</v>
      </c>
      <c r="K13" s="3">
        <v>62638.641000000003</v>
      </c>
      <c r="L13" s="3" t="s">
        <v>17</v>
      </c>
      <c r="M13" s="3">
        <v>20564.629000000001</v>
      </c>
      <c r="N13" s="3">
        <v>1909.979</v>
      </c>
      <c r="O13">
        <v>3.0459999999999998</v>
      </c>
    </row>
    <row r="14" spans="1:15" x14ac:dyDescent="0.2">
      <c r="A14">
        <v>7</v>
      </c>
      <c r="B14" t="s">
        <v>76</v>
      </c>
      <c r="D14" t="s">
        <v>16</v>
      </c>
      <c r="E14">
        <v>5.3</v>
      </c>
      <c r="F14">
        <v>10.49</v>
      </c>
      <c r="G14">
        <v>-0.5</v>
      </c>
      <c r="H14" s="2">
        <v>5.27</v>
      </c>
      <c r="I14" s="3">
        <v>142551</v>
      </c>
      <c r="K14" s="3">
        <v>142550.67199999999</v>
      </c>
      <c r="L14" s="3" t="s">
        <v>17</v>
      </c>
      <c r="M14" s="3">
        <v>48973.913999999997</v>
      </c>
      <c r="N14" s="3">
        <v>4522.6030000000001</v>
      </c>
      <c r="O14">
        <v>2.911</v>
      </c>
    </row>
    <row r="15" spans="1:15" x14ac:dyDescent="0.2">
      <c r="A15">
        <v>8</v>
      </c>
      <c r="B15" t="s">
        <v>77</v>
      </c>
      <c r="D15" t="s">
        <v>16</v>
      </c>
      <c r="E15">
        <v>26.4</v>
      </c>
      <c r="F15">
        <v>10.49</v>
      </c>
      <c r="G15">
        <v>-2.2000000000000002</v>
      </c>
      <c r="H15" s="2">
        <v>25.83</v>
      </c>
      <c r="I15" s="3">
        <v>641877</v>
      </c>
      <c r="K15" s="3">
        <v>641877.18799999997</v>
      </c>
      <c r="L15" s="3" t="s">
        <v>17</v>
      </c>
      <c r="M15" s="3">
        <v>218719.54699999999</v>
      </c>
      <c r="N15" s="3">
        <v>2371.6039999999998</v>
      </c>
      <c r="O15">
        <v>2.9350000000000001</v>
      </c>
    </row>
    <row r="16" spans="1:15" x14ac:dyDescent="0.2">
      <c r="A16" s="4">
        <v>9</v>
      </c>
      <c r="B16" s="4" t="s">
        <v>78</v>
      </c>
      <c r="C16" s="4"/>
      <c r="D16" s="4" t="s">
        <v>16</v>
      </c>
      <c r="E16" s="4">
        <v>101.4</v>
      </c>
      <c r="F16" s="4">
        <v>10.49</v>
      </c>
      <c r="G16" s="4">
        <v>-100</v>
      </c>
      <c r="H16" s="5"/>
      <c r="I16" s="6">
        <v>2200098</v>
      </c>
      <c r="J16" s="6"/>
      <c r="K16" s="6">
        <v>2200098.25</v>
      </c>
      <c r="L16" s="6" t="s">
        <v>21</v>
      </c>
      <c r="M16" s="6">
        <v>775210</v>
      </c>
      <c r="N16" s="6">
        <v>4879.04</v>
      </c>
      <c r="O16" s="4">
        <v>2.8380000000000001</v>
      </c>
    </row>
    <row r="17" spans="1:22" x14ac:dyDescent="0.2">
      <c r="A17" s="4">
        <v>10</v>
      </c>
      <c r="B17" s="4" t="s">
        <v>79</v>
      </c>
      <c r="C17" s="4"/>
      <c r="D17" s="4" t="s">
        <v>16</v>
      </c>
      <c r="E17" s="4">
        <v>253.5</v>
      </c>
      <c r="F17" s="4">
        <v>10.49</v>
      </c>
      <c r="G17" s="4">
        <v>-100</v>
      </c>
      <c r="H17" s="5"/>
      <c r="I17" s="6">
        <v>4700424</v>
      </c>
      <c r="J17" s="6"/>
      <c r="K17" s="6">
        <v>4700423.5</v>
      </c>
      <c r="L17" s="6" t="s">
        <v>21</v>
      </c>
      <c r="M17" s="6">
        <v>1589750.5</v>
      </c>
      <c r="N17" s="6">
        <v>4132.0870000000004</v>
      </c>
      <c r="O17" s="4">
        <v>2.9569999999999999</v>
      </c>
    </row>
    <row r="18" spans="1:22" x14ac:dyDescent="0.2">
      <c r="A18">
        <v>49</v>
      </c>
      <c r="B18" t="s">
        <v>15</v>
      </c>
      <c r="D18" t="s">
        <v>16</v>
      </c>
      <c r="E18">
        <v>0.495</v>
      </c>
      <c r="F18">
        <v>10.49</v>
      </c>
      <c r="G18">
        <v>3</v>
      </c>
      <c r="H18" s="2">
        <v>0.51</v>
      </c>
      <c r="I18" s="3">
        <v>14577</v>
      </c>
      <c r="K18" s="3">
        <v>14577.466</v>
      </c>
      <c r="L18" s="3" t="s">
        <v>17</v>
      </c>
      <c r="M18" s="3">
        <v>4992.7380000000003</v>
      </c>
      <c r="N18" s="3">
        <v>1601.0740000000001</v>
      </c>
      <c r="O18">
        <v>2.92</v>
      </c>
    </row>
    <row r="19" spans="1:22" x14ac:dyDescent="0.2">
      <c r="A19">
        <v>50</v>
      </c>
      <c r="B19" t="s">
        <v>18</v>
      </c>
      <c r="D19" t="s">
        <v>16</v>
      </c>
      <c r="E19">
        <v>2.2999999999999998</v>
      </c>
      <c r="F19">
        <v>10.49</v>
      </c>
      <c r="G19">
        <v>1.1000000000000001</v>
      </c>
      <c r="H19" s="2">
        <v>2.33</v>
      </c>
      <c r="I19" s="3">
        <v>63923</v>
      </c>
      <c r="K19" s="3">
        <v>63923.129000000001</v>
      </c>
      <c r="L19" s="3" t="s">
        <v>17</v>
      </c>
      <c r="M19" s="3">
        <v>21446.842000000001</v>
      </c>
      <c r="N19" s="3">
        <v>2908.3130000000001</v>
      </c>
      <c r="O19">
        <v>2.98</v>
      </c>
    </row>
    <row r="20" spans="1:22" x14ac:dyDescent="0.2">
      <c r="A20">
        <v>51</v>
      </c>
      <c r="B20" t="s">
        <v>19</v>
      </c>
      <c r="D20" t="s">
        <v>16</v>
      </c>
      <c r="E20">
        <v>26.4</v>
      </c>
      <c r="F20">
        <v>10.49</v>
      </c>
      <c r="G20">
        <v>2.2000000000000002</v>
      </c>
      <c r="H20" s="2">
        <v>26.98</v>
      </c>
      <c r="I20" s="3">
        <v>667383</v>
      </c>
      <c r="K20" s="3">
        <v>667383.43799999997</v>
      </c>
      <c r="L20" s="3" t="s">
        <v>17</v>
      </c>
      <c r="M20" s="3">
        <v>221075.391</v>
      </c>
      <c r="N20" s="3">
        <v>6564</v>
      </c>
      <c r="O20">
        <v>3.0190000000000001</v>
      </c>
    </row>
    <row r="21" spans="1:22" x14ac:dyDescent="0.2">
      <c r="A21" s="4">
        <v>52</v>
      </c>
      <c r="B21" s="4" t="s">
        <v>20</v>
      </c>
      <c r="C21" s="4"/>
      <c r="D21" s="4" t="s">
        <v>16</v>
      </c>
      <c r="E21" s="4">
        <v>253.5</v>
      </c>
      <c r="F21" s="4">
        <v>10.49</v>
      </c>
      <c r="G21" s="4">
        <v>-100</v>
      </c>
      <c r="H21" s="5"/>
      <c r="I21" s="6">
        <v>4655511</v>
      </c>
      <c r="J21" s="6"/>
      <c r="K21" s="6">
        <v>4655510.5</v>
      </c>
      <c r="L21" s="6" t="s">
        <v>21</v>
      </c>
      <c r="M21" s="6">
        <v>1562686.75</v>
      </c>
      <c r="N21" s="6">
        <v>3194.7669999999998</v>
      </c>
      <c r="O21" s="4">
        <v>2.9790000000000001</v>
      </c>
    </row>
    <row r="22" spans="1:22" x14ac:dyDescent="0.2">
      <c r="A22">
        <v>56</v>
      </c>
      <c r="B22" t="s">
        <v>22</v>
      </c>
      <c r="D22" t="s">
        <v>16</v>
      </c>
      <c r="E22">
        <v>4.1000000000000002E-2</v>
      </c>
      <c r="F22">
        <v>10.49</v>
      </c>
      <c r="G22">
        <v>1.2</v>
      </c>
      <c r="H22" s="2">
        <v>0.04</v>
      </c>
      <c r="I22" s="3">
        <v>1738</v>
      </c>
      <c r="K22" s="3">
        <v>1738.365</v>
      </c>
      <c r="L22" s="3" t="s">
        <v>17</v>
      </c>
      <c r="M22" s="3">
        <v>553.97699999999998</v>
      </c>
      <c r="N22" s="3">
        <v>228.43600000000001</v>
      </c>
      <c r="O22">
        <v>3.1379999999999999</v>
      </c>
    </row>
    <row r="23" spans="1:22" x14ac:dyDescent="0.2">
      <c r="A23">
        <v>11</v>
      </c>
      <c r="B23" t="s">
        <v>80</v>
      </c>
      <c r="F23">
        <v>10.49</v>
      </c>
      <c r="H23" s="2">
        <v>0.24</v>
      </c>
      <c r="I23" s="3">
        <v>7307</v>
      </c>
      <c r="K23" s="3">
        <v>7307.17</v>
      </c>
      <c r="L23" s="3" t="s">
        <v>17</v>
      </c>
      <c r="M23" s="3">
        <v>2567.3130000000001</v>
      </c>
      <c r="N23" s="3">
        <v>419.90199999999999</v>
      </c>
      <c r="O23">
        <v>2.8460000000000001</v>
      </c>
    </row>
    <row r="24" spans="1:22" x14ac:dyDescent="0.2">
      <c r="A24">
        <v>12</v>
      </c>
      <c r="B24" t="s">
        <v>81</v>
      </c>
      <c r="F24">
        <v>10.5</v>
      </c>
      <c r="H24" s="2">
        <v>0.04</v>
      </c>
      <c r="I24" s="3">
        <v>1749</v>
      </c>
      <c r="K24" s="3">
        <v>1749.175</v>
      </c>
      <c r="L24" s="3" t="s">
        <v>17</v>
      </c>
      <c r="M24" s="3">
        <v>603.82500000000005</v>
      </c>
      <c r="N24" s="3">
        <v>197.74299999999999</v>
      </c>
      <c r="O24">
        <v>2.8969999999999998</v>
      </c>
    </row>
    <row r="25" spans="1:22" x14ac:dyDescent="0.2">
      <c r="A25">
        <v>13</v>
      </c>
      <c r="B25" t="s">
        <v>82</v>
      </c>
      <c r="F25">
        <v>10.49</v>
      </c>
      <c r="H25" s="2">
        <v>0.01</v>
      </c>
      <c r="I25" s="3">
        <v>881</v>
      </c>
      <c r="K25" s="3">
        <v>880.80100000000004</v>
      </c>
      <c r="L25" s="3" t="s">
        <v>17</v>
      </c>
      <c r="M25" s="3">
        <v>280.18099999999998</v>
      </c>
      <c r="N25" s="3">
        <v>106.161</v>
      </c>
      <c r="O25">
        <v>3.1440000000000001</v>
      </c>
    </row>
    <row r="26" spans="1:22" x14ac:dyDescent="0.2">
      <c r="A26">
        <v>14</v>
      </c>
      <c r="B26" t="s">
        <v>83</v>
      </c>
      <c r="F26">
        <v>10.5</v>
      </c>
      <c r="H26" s="2">
        <v>0</v>
      </c>
      <c r="I26" s="3">
        <v>606</v>
      </c>
      <c r="K26" s="3">
        <v>606.43799999999999</v>
      </c>
      <c r="L26" s="3" t="s">
        <v>17</v>
      </c>
      <c r="M26" s="3">
        <v>137.602</v>
      </c>
      <c r="N26" s="3">
        <v>75.787000000000006</v>
      </c>
      <c r="O26">
        <v>4.407</v>
      </c>
    </row>
    <row r="27" spans="1:22" x14ac:dyDescent="0.2">
      <c r="A27">
        <v>15</v>
      </c>
      <c r="B27" t="s">
        <v>84</v>
      </c>
      <c r="F27">
        <v>10.5</v>
      </c>
      <c r="I27" s="3">
        <v>234</v>
      </c>
      <c r="K27" s="3">
        <v>234.21</v>
      </c>
      <c r="L27" s="3" t="s">
        <v>34</v>
      </c>
      <c r="M27" s="3">
        <v>73.863</v>
      </c>
      <c r="N27" s="3">
        <v>29.844999999999999</v>
      </c>
      <c r="O27">
        <v>3.1709999999999998</v>
      </c>
    </row>
    <row r="28" spans="1:22" x14ac:dyDescent="0.2">
      <c r="A28">
        <v>16</v>
      </c>
      <c r="B28" t="s">
        <v>85</v>
      </c>
      <c r="F28">
        <v>10.49</v>
      </c>
      <c r="I28" s="3">
        <v>118</v>
      </c>
      <c r="K28" s="3">
        <v>117.8</v>
      </c>
      <c r="L28" s="3" t="s">
        <v>34</v>
      </c>
      <c r="M28" s="3">
        <v>32.741999999999997</v>
      </c>
      <c r="N28" s="3">
        <v>16.971</v>
      </c>
      <c r="O28">
        <v>3.5979999999999999</v>
      </c>
      <c r="Q28" s="1" t="s">
        <v>120</v>
      </c>
      <c r="R28" s="1" t="s">
        <v>121</v>
      </c>
      <c r="S28" s="10" t="s">
        <v>124</v>
      </c>
      <c r="T28" s="20" t="s">
        <v>122</v>
      </c>
      <c r="U28" t="s">
        <v>123</v>
      </c>
      <c r="V28" s="1" t="s">
        <v>125</v>
      </c>
    </row>
    <row r="29" spans="1:22" x14ac:dyDescent="0.2">
      <c r="A29">
        <v>17</v>
      </c>
      <c r="B29" t="s">
        <v>86</v>
      </c>
      <c r="F29">
        <v>10.49</v>
      </c>
      <c r="I29" s="3">
        <v>193</v>
      </c>
      <c r="K29" s="3">
        <v>193.38399999999999</v>
      </c>
      <c r="L29" s="3" t="s">
        <v>34</v>
      </c>
      <c r="M29" s="3">
        <v>54.274999999999999</v>
      </c>
      <c r="N29" s="3">
        <v>52.991</v>
      </c>
      <c r="O29">
        <v>3.5630000000000002</v>
      </c>
    </row>
    <row r="30" spans="1:22" x14ac:dyDescent="0.2">
      <c r="A30">
        <v>18</v>
      </c>
      <c r="B30" t="s">
        <v>87</v>
      </c>
      <c r="F30">
        <v>10.5</v>
      </c>
      <c r="I30" s="3">
        <v>187</v>
      </c>
      <c r="K30" s="3">
        <v>187.06</v>
      </c>
      <c r="L30" s="3" t="s">
        <v>34</v>
      </c>
      <c r="M30" s="3">
        <v>52.484000000000002</v>
      </c>
      <c r="N30" s="3">
        <v>48.674999999999997</v>
      </c>
      <c r="O30">
        <v>3.5640000000000001</v>
      </c>
    </row>
    <row r="31" spans="1:22" x14ac:dyDescent="0.2">
      <c r="A31">
        <v>19</v>
      </c>
      <c r="B31" t="s">
        <v>88</v>
      </c>
      <c r="F31">
        <v>10.49</v>
      </c>
      <c r="H31" s="2">
        <v>0.05</v>
      </c>
      <c r="I31" s="3">
        <v>2053</v>
      </c>
      <c r="K31" s="3">
        <v>2053.3539999999998</v>
      </c>
      <c r="L31" s="3" t="s">
        <v>17</v>
      </c>
      <c r="M31" s="3">
        <v>672.47</v>
      </c>
      <c r="N31" s="3">
        <v>299.76100000000002</v>
      </c>
      <c r="O31">
        <v>3.0529999999999999</v>
      </c>
      <c r="Q31" s="7">
        <v>1</v>
      </c>
      <c r="R31" s="1">
        <v>5.0263</v>
      </c>
      <c r="S31" s="22">
        <f>(H31*Q31*1.2/1000)*(7/0.4)</f>
        <v>1.0499999999999999E-3</v>
      </c>
      <c r="T31" s="19">
        <f>S31*1000/R31</f>
        <v>0.20890117979428208</v>
      </c>
    </row>
    <row r="32" spans="1:22" x14ac:dyDescent="0.2">
      <c r="A32">
        <v>20</v>
      </c>
      <c r="B32" t="s">
        <v>89</v>
      </c>
      <c r="F32">
        <v>10.49</v>
      </c>
      <c r="H32" s="2">
        <v>0.04</v>
      </c>
      <c r="I32" s="3">
        <v>1668</v>
      </c>
      <c r="K32" s="3">
        <v>1667.798</v>
      </c>
      <c r="L32" s="3" t="s">
        <v>17</v>
      </c>
      <c r="M32" s="3">
        <v>658.14400000000001</v>
      </c>
      <c r="N32" s="3">
        <v>190.416</v>
      </c>
      <c r="O32">
        <v>2.5339999999999998</v>
      </c>
      <c r="Q32" s="7">
        <v>1</v>
      </c>
      <c r="R32" s="1">
        <v>4.96</v>
      </c>
      <c r="S32" s="22">
        <f t="shared" ref="S32" si="0">(H32*Q32*1.2/1000)*(7/0.4)</f>
        <v>8.4000000000000003E-4</v>
      </c>
      <c r="T32" s="19">
        <f t="shared" ref="T32:T52" si="1">S32*1000/R32</f>
        <v>0.16935483870967744</v>
      </c>
    </row>
    <row r="33" spans="1:23" x14ac:dyDescent="0.2">
      <c r="A33">
        <v>21</v>
      </c>
      <c r="B33" t="s">
        <v>90</v>
      </c>
      <c r="F33">
        <v>10.49</v>
      </c>
      <c r="I33" s="3">
        <v>281</v>
      </c>
      <c r="K33" s="3">
        <v>281.47000000000003</v>
      </c>
      <c r="L33" s="3" t="s">
        <v>34</v>
      </c>
      <c r="M33" s="3">
        <v>101.91</v>
      </c>
      <c r="N33" s="3">
        <v>112.63200000000001</v>
      </c>
      <c r="O33">
        <v>2.762</v>
      </c>
      <c r="Q33" s="7">
        <v>20</v>
      </c>
      <c r="R33" s="1">
        <v>4.95</v>
      </c>
      <c r="S33" s="22"/>
    </row>
    <row r="34" spans="1:23" x14ac:dyDescent="0.2">
      <c r="A34">
        <v>22</v>
      </c>
      <c r="B34" t="s">
        <v>91</v>
      </c>
      <c r="F34">
        <v>10.49</v>
      </c>
      <c r="H34" s="2">
        <v>0.01</v>
      </c>
      <c r="I34" s="3">
        <v>848</v>
      </c>
      <c r="K34" s="3">
        <v>847.98900000000003</v>
      </c>
      <c r="L34" s="3" t="s">
        <v>17</v>
      </c>
      <c r="M34" s="3">
        <v>259.089</v>
      </c>
      <c r="N34" s="3">
        <v>137.66</v>
      </c>
      <c r="O34">
        <v>3.2730000000000001</v>
      </c>
      <c r="Q34" s="7">
        <v>20</v>
      </c>
      <c r="R34" s="1">
        <v>4.9660000000000002</v>
      </c>
      <c r="S34" s="22">
        <f t="shared" ref="S34:S52" si="2">(H34*Q34*1.2/1000)*(7/0.1)</f>
        <v>1.6799999999999999E-2</v>
      </c>
      <c r="T34" s="19">
        <f t="shared" si="1"/>
        <v>3.3830044301248492</v>
      </c>
    </row>
    <row r="35" spans="1:23" x14ac:dyDescent="0.2">
      <c r="A35">
        <v>23</v>
      </c>
      <c r="B35" t="s">
        <v>92</v>
      </c>
      <c r="F35">
        <v>10.49</v>
      </c>
      <c r="I35" s="3">
        <v>263</v>
      </c>
      <c r="K35" s="3">
        <v>263.47300000000001</v>
      </c>
      <c r="L35" s="3" t="s">
        <v>34</v>
      </c>
      <c r="M35" s="3">
        <v>72.831000000000003</v>
      </c>
      <c r="N35" s="3">
        <v>78.242000000000004</v>
      </c>
      <c r="O35">
        <v>3.6179999999999999</v>
      </c>
      <c r="Q35" s="7">
        <v>20</v>
      </c>
      <c r="R35" s="1">
        <v>4.9333999999999998</v>
      </c>
      <c r="S35" s="22"/>
    </row>
    <row r="36" spans="1:23" x14ac:dyDescent="0.2">
      <c r="A36">
        <v>24</v>
      </c>
      <c r="B36" t="s">
        <v>93</v>
      </c>
      <c r="F36">
        <v>10.49</v>
      </c>
      <c r="I36" s="3">
        <v>115</v>
      </c>
      <c r="K36" s="3">
        <v>115.221</v>
      </c>
      <c r="L36" s="3" t="s">
        <v>34</v>
      </c>
      <c r="M36" s="3">
        <v>34.036000000000001</v>
      </c>
      <c r="N36" s="3">
        <v>33.290999999999997</v>
      </c>
      <c r="O36">
        <v>3.3849999999999998</v>
      </c>
      <c r="Q36" s="7">
        <v>20</v>
      </c>
      <c r="R36" s="1">
        <v>4.9353999999999996</v>
      </c>
      <c r="S36" s="22"/>
    </row>
    <row r="37" spans="1:23" x14ac:dyDescent="0.2">
      <c r="A37" s="13">
        <v>25</v>
      </c>
      <c r="B37" s="13" t="s">
        <v>94</v>
      </c>
      <c r="C37" s="13" t="s">
        <v>148</v>
      </c>
      <c r="D37" s="13"/>
      <c r="E37" s="13"/>
      <c r="F37" s="13">
        <v>10.49</v>
      </c>
      <c r="G37" s="13"/>
      <c r="H37" s="14">
        <v>5.73</v>
      </c>
      <c r="I37" s="15">
        <v>154756</v>
      </c>
      <c r="J37" s="15"/>
      <c r="K37" s="15">
        <v>154756.391</v>
      </c>
      <c r="L37" s="15" t="s">
        <v>17</v>
      </c>
      <c r="M37" s="15">
        <v>52014.07</v>
      </c>
      <c r="N37" s="15">
        <v>2885.3679999999999</v>
      </c>
      <c r="O37" s="13">
        <v>2.9750000000000001</v>
      </c>
      <c r="P37" s="13"/>
      <c r="Q37" s="16">
        <v>60</v>
      </c>
      <c r="R37" s="17">
        <v>5.0309999999999997</v>
      </c>
      <c r="S37" s="18">
        <f t="shared" si="2"/>
        <v>28.879199999999997</v>
      </c>
      <c r="T37" s="27">
        <f t="shared" si="1"/>
        <v>5740.2504472271912</v>
      </c>
      <c r="U37" s="18">
        <f>0.05*569.25</f>
        <v>28.462500000000002</v>
      </c>
      <c r="V37" s="21">
        <f>(S37-S31)*100/U37</f>
        <v>101.46034255599471</v>
      </c>
      <c r="W37" t="s">
        <v>126</v>
      </c>
    </row>
    <row r="38" spans="1:23" x14ac:dyDescent="0.2">
      <c r="A38" s="13">
        <v>26</v>
      </c>
      <c r="B38" s="13" t="s">
        <v>95</v>
      </c>
      <c r="C38" s="13" t="s">
        <v>148</v>
      </c>
      <c r="D38" s="13"/>
      <c r="E38" s="13"/>
      <c r="F38" s="13">
        <v>10.49</v>
      </c>
      <c r="G38" s="13"/>
      <c r="H38" s="14">
        <v>5.68</v>
      </c>
      <c r="I38" s="15">
        <v>153430</v>
      </c>
      <c r="J38" s="15"/>
      <c r="K38" s="15">
        <v>153430.109</v>
      </c>
      <c r="L38" s="15" t="s">
        <v>17</v>
      </c>
      <c r="M38" s="15">
        <v>51536.620999999999</v>
      </c>
      <c r="N38" s="15">
        <v>3702.8530000000001</v>
      </c>
      <c r="O38" s="13">
        <v>2.9769999999999999</v>
      </c>
      <c r="P38" s="13"/>
      <c r="Q38" s="16">
        <v>60</v>
      </c>
      <c r="R38" s="17">
        <v>5.0309999999999997</v>
      </c>
      <c r="S38" s="18">
        <f t="shared" si="2"/>
        <v>28.627199999999995</v>
      </c>
      <c r="T38" s="27">
        <f t="shared" si="1"/>
        <v>5690.1610017889079</v>
      </c>
      <c r="U38" s="18">
        <f>0.05*569.25</f>
        <v>28.462500000000002</v>
      </c>
      <c r="V38" s="21">
        <f>(S38-S32)*100/U38</f>
        <v>100.57570487483528</v>
      </c>
    </row>
    <row r="39" spans="1:23" x14ac:dyDescent="0.2">
      <c r="A39">
        <v>27</v>
      </c>
      <c r="B39" t="s">
        <v>96</v>
      </c>
      <c r="F39">
        <v>10.49</v>
      </c>
      <c r="H39" s="2">
        <v>4.21</v>
      </c>
      <c r="I39" s="3">
        <v>114364</v>
      </c>
      <c r="K39" s="3">
        <v>114364.461</v>
      </c>
      <c r="L39" s="3" t="s">
        <v>17</v>
      </c>
      <c r="M39" s="3">
        <v>38221.737999999998</v>
      </c>
      <c r="N39" s="3">
        <v>1387.002</v>
      </c>
      <c r="O39">
        <v>2.992</v>
      </c>
      <c r="Q39" s="7">
        <v>20</v>
      </c>
      <c r="R39" s="1">
        <v>4.9870000000000001</v>
      </c>
      <c r="S39" s="11">
        <f t="shared" si="2"/>
        <v>7.0728</v>
      </c>
      <c r="T39" s="28">
        <f t="shared" si="1"/>
        <v>1418.247443352717</v>
      </c>
    </row>
    <row r="40" spans="1:23" x14ac:dyDescent="0.2">
      <c r="A40">
        <v>28</v>
      </c>
      <c r="B40" t="s">
        <v>97</v>
      </c>
      <c r="F40">
        <v>10.49</v>
      </c>
      <c r="H40" s="2">
        <v>6.41</v>
      </c>
      <c r="I40" s="3">
        <v>172579</v>
      </c>
      <c r="K40" s="3">
        <v>172578.90599999999</v>
      </c>
      <c r="L40" s="3" t="s">
        <v>17</v>
      </c>
      <c r="M40" s="3">
        <v>56210.773000000001</v>
      </c>
      <c r="N40" s="3">
        <v>4344.6379999999999</v>
      </c>
      <c r="O40">
        <v>3.07</v>
      </c>
      <c r="Q40" s="7">
        <v>20</v>
      </c>
      <c r="R40" s="1">
        <v>4.9539999999999997</v>
      </c>
      <c r="S40" s="11">
        <f t="shared" si="2"/>
        <v>10.768799999999999</v>
      </c>
      <c r="T40" s="28">
        <f t="shared" si="1"/>
        <v>2173.7585789261202</v>
      </c>
    </row>
    <row r="41" spans="1:23" x14ac:dyDescent="0.2">
      <c r="A41">
        <v>29</v>
      </c>
      <c r="B41" t="s">
        <v>98</v>
      </c>
      <c r="F41">
        <v>10.49</v>
      </c>
      <c r="H41" s="2">
        <v>10.52</v>
      </c>
      <c r="I41" s="3">
        <v>278220</v>
      </c>
      <c r="K41" s="3">
        <v>278219.875</v>
      </c>
      <c r="L41" s="3" t="s">
        <v>17</v>
      </c>
      <c r="M41" s="3">
        <v>94621.672000000006</v>
      </c>
      <c r="N41" s="3">
        <v>4658.3159999999998</v>
      </c>
      <c r="O41">
        <v>2.94</v>
      </c>
      <c r="Q41" s="7">
        <v>20</v>
      </c>
      <c r="R41" s="1">
        <v>5.0216000000000003</v>
      </c>
      <c r="S41" s="11">
        <f t="shared" si="2"/>
        <v>17.6736</v>
      </c>
      <c r="T41" s="28">
        <f t="shared" si="1"/>
        <v>3519.5156922096544</v>
      </c>
    </row>
    <row r="42" spans="1:23" x14ac:dyDescent="0.2">
      <c r="A42">
        <v>30</v>
      </c>
      <c r="B42" t="s">
        <v>99</v>
      </c>
      <c r="F42">
        <v>10.49</v>
      </c>
      <c r="H42" s="2">
        <v>11.15</v>
      </c>
      <c r="I42" s="3">
        <v>294210</v>
      </c>
      <c r="K42" s="3">
        <v>294210.43800000002</v>
      </c>
      <c r="L42" s="3" t="s">
        <v>17</v>
      </c>
      <c r="M42" s="3">
        <v>99288.539000000004</v>
      </c>
      <c r="N42" s="3">
        <v>4929.5330000000004</v>
      </c>
      <c r="O42">
        <v>2.9630000000000001</v>
      </c>
      <c r="Q42" s="7">
        <v>20</v>
      </c>
      <c r="R42" s="1">
        <v>5.0906000000000002</v>
      </c>
      <c r="S42" s="11">
        <f t="shared" si="2"/>
        <v>18.731999999999996</v>
      </c>
      <c r="T42" s="28">
        <f t="shared" si="1"/>
        <v>3679.7234117785715</v>
      </c>
    </row>
    <row r="43" spans="1:23" x14ac:dyDescent="0.2">
      <c r="A43" s="13">
        <v>31</v>
      </c>
      <c r="B43" s="13" t="s">
        <v>100</v>
      </c>
      <c r="C43" s="13" t="s">
        <v>148</v>
      </c>
      <c r="D43" s="13"/>
      <c r="E43" s="13"/>
      <c r="F43" s="13">
        <v>10.49</v>
      </c>
      <c r="G43" s="13"/>
      <c r="H43" s="14">
        <v>17.87</v>
      </c>
      <c r="I43" s="15">
        <v>458944</v>
      </c>
      <c r="J43" s="15"/>
      <c r="K43" s="15">
        <v>458943.90600000002</v>
      </c>
      <c r="L43" s="15" t="s">
        <v>17</v>
      </c>
      <c r="M43" s="15">
        <v>153531.95300000001</v>
      </c>
      <c r="N43" s="15">
        <v>4813.8029999999999</v>
      </c>
      <c r="O43" s="13">
        <v>2.9889999999999999</v>
      </c>
      <c r="P43" s="13"/>
      <c r="Q43" s="16">
        <v>20</v>
      </c>
      <c r="R43" s="17">
        <v>5.0309999999999997</v>
      </c>
      <c r="S43" s="18">
        <f t="shared" si="2"/>
        <v>30.021600000000003</v>
      </c>
      <c r="T43" s="27">
        <f t="shared" si="1"/>
        <v>5967.3225998807402</v>
      </c>
      <c r="U43" s="18">
        <f>0.05*569.25</f>
        <v>28.462500000000002</v>
      </c>
      <c r="V43" s="21">
        <f>(S43-S31)*100/U43</f>
        <v>105.47404479578393</v>
      </c>
      <c r="W43" t="s">
        <v>126</v>
      </c>
    </row>
    <row r="44" spans="1:23" x14ac:dyDescent="0.2">
      <c r="A44" s="13">
        <v>32</v>
      </c>
      <c r="B44" s="13" t="s">
        <v>101</v>
      </c>
      <c r="C44" s="13" t="s">
        <v>148</v>
      </c>
      <c r="D44" s="13"/>
      <c r="E44" s="13"/>
      <c r="F44" s="13">
        <v>10.49</v>
      </c>
      <c r="G44" s="13"/>
      <c r="H44" s="14">
        <v>17.52</v>
      </c>
      <c r="I44" s="15">
        <v>450574</v>
      </c>
      <c r="J44" s="15"/>
      <c r="K44" s="15">
        <v>450573.78100000002</v>
      </c>
      <c r="L44" s="15" t="s">
        <v>17</v>
      </c>
      <c r="M44" s="15">
        <v>148063.04699999999</v>
      </c>
      <c r="N44" s="15">
        <v>3452.9059999999999</v>
      </c>
      <c r="O44" s="13">
        <v>3.0430000000000001</v>
      </c>
      <c r="P44" s="13"/>
      <c r="Q44" s="16">
        <v>20</v>
      </c>
      <c r="R44" s="17">
        <v>5.0309999999999997</v>
      </c>
      <c r="S44" s="18">
        <f t="shared" si="2"/>
        <v>29.433599999999998</v>
      </c>
      <c r="T44" s="27">
        <f t="shared" si="1"/>
        <v>5850.4472271914137</v>
      </c>
      <c r="U44" s="18">
        <f>0.05*569.25</f>
        <v>28.462500000000002</v>
      </c>
      <c r="V44" s="21">
        <f>(S43-S32)*100/U44</f>
        <v>105.47478260869566</v>
      </c>
    </row>
    <row r="45" spans="1:23" x14ac:dyDescent="0.2">
      <c r="A45">
        <v>33</v>
      </c>
      <c r="B45" t="s">
        <v>102</v>
      </c>
      <c r="F45">
        <v>10.49</v>
      </c>
      <c r="H45" s="2">
        <v>15.49</v>
      </c>
      <c r="I45" s="3">
        <v>401706</v>
      </c>
      <c r="K45" s="3">
        <v>401706.125</v>
      </c>
      <c r="L45" s="3" t="s">
        <v>17</v>
      </c>
      <c r="M45" s="3">
        <v>131607.53099999999</v>
      </c>
      <c r="N45" s="3">
        <v>4072.163</v>
      </c>
      <c r="O45">
        <v>3.052</v>
      </c>
      <c r="Q45" s="7">
        <v>20</v>
      </c>
      <c r="R45" s="1">
        <v>5.0460000000000003</v>
      </c>
      <c r="S45" s="11">
        <f t="shared" si="2"/>
        <v>26.023199999999999</v>
      </c>
      <c r="T45" s="28">
        <f t="shared" si="1"/>
        <v>5157.1938168846609</v>
      </c>
    </row>
    <row r="46" spans="1:23" x14ac:dyDescent="0.2">
      <c r="A46">
        <v>34</v>
      </c>
      <c r="B46" t="s">
        <v>103</v>
      </c>
      <c r="F46">
        <v>10.49</v>
      </c>
      <c r="H46" s="2">
        <v>15.69</v>
      </c>
      <c r="I46" s="3">
        <v>406495</v>
      </c>
      <c r="K46" s="3">
        <v>406495.43800000002</v>
      </c>
      <c r="L46" s="3" t="s">
        <v>17</v>
      </c>
      <c r="M46" s="3">
        <v>137471.484</v>
      </c>
      <c r="N46" s="3">
        <v>2702.9879999999998</v>
      </c>
      <c r="O46">
        <v>2.9569999999999999</v>
      </c>
      <c r="Q46" s="7">
        <v>20</v>
      </c>
      <c r="R46" s="1">
        <v>5.0867000000000004</v>
      </c>
      <c r="S46" s="11">
        <f t="shared" si="2"/>
        <v>26.359200000000001</v>
      </c>
      <c r="T46" s="28">
        <f t="shared" si="1"/>
        <v>5181.9843906658534</v>
      </c>
    </row>
    <row r="47" spans="1:23" x14ac:dyDescent="0.2">
      <c r="A47">
        <v>35</v>
      </c>
      <c r="B47" t="s">
        <v>104</v>
      </c>
      <c r="F47">
        <v>10.49</v>
      </c>
      <c r="H47" s="2">
        <v>20.079999999999998</v>
      </c>
      <c r="I47" s="3">
        <v>510881</v>
      </c>
      <c r="K47" s="3">
        <v>510881.31300000002</v>
      </c>
      <c r="L47" s="3" t="s">
        <v>17</v>
      </c>
      <c r="M47" s="3">
        <v>167813.32800000001</v>
      </c>
      <c r="N47" s="3">
        <v>2958.665</v>
      </c>
      <c r="O47">
        <v>3.044</v>
      </c>
      <c r="Q47" s="7">
        <v>20</v>
      </c>
      <c r="R47" s="1">
        <v>4.9630000000000001</v>
      </c>
      <c r="S47" s="11">
        <f t="shared" si="2"/>
        <v>33.734399999999994</v>
      </c>
      <c r="T47" s="28">
        <f t="shared" si="1"/>
        <v>6797.1791255289127</v>
      </c>
    </row>
    <row r="48" spans="1:23" x14ac:dyDescent="0.2">
      <c r="A48">
        <v>36</v>
      </c>
      <c r="B48" t="s">
        <v>105</v>
      </c>
      <c r="F48">
        <v>10.49</v>
      </c>
      <c r="H48" s="2">
        <v>21.06</v>
      </c>
      <c r="I48" s="3">
        <v>533881</v>
      </c>
      <c r="K48" s="3">
        <v>533880.5</v>
      </c>
      <c r="L48" s="3" t="s">
        <v>17</v>
      </c>
      <c r="M48" s="3">
        <v>185411.28099999999</v>
      </c>
      <c r="N48" s="3">
        <v>3622.0160000000001</v>
      </c>
      <c r="O48">
        <v>2.879</v>
      </c>
      <c r="Q48" s="7">
        <v>20</v>
      </c>
      <c r="R48" s="1">
        <v>5.0391000000000004</v>
      </c>
      <c r="S48" s="11">
        <f t="shared" si="2"/>
        <v>35.380799999999994</v>
      </c>
      <c r="T48" s="28">
        <f t="shared" si="1"/>
        <v>7021.253795320592</v>
      </c>
    </row>
    <row r="49" spans="1:20" x14ac:dyDescent="0.2">
      <c r="A49" s="4">
        <v>37</v>
      </c>
      <c r="B49" s="4" t="s">
        <v>106</v>
      </c>
      <c r="C49" s="4"/>
      <c r="D49" s="4"/>
      <c r="E49" s="4"/>
      <c r="F49" s="4">
        <v>10.49</v>
      </c>
      <c r="G49" s="4"/>
      <c r="H49" s="5">
        <v>36.46</v>
      </c>
      <c r="I49" s="6">
        <v>866201</v>
      </c>
      <c r="J49" s="6"/>
      <c r="K49" s="6">
        <v>866201.31299999997</v>
      </c>
      <c r="L49" s="6" t="s">
        <v>17</v>
      </c>
      <c r="M49" s="6">
        <v>293690.875</v>
      </c>
      <c r="N49" s="6">
        <v>2551.384</v>
      </c>
      <c r="O49" s="4">
        <v>2.9489999999999998</v>
      </c>
      <c r="P49" s="4"/>
      <c r="Q49" s="8">
        <v>60</v>
      </c>
      <c r="R49" s="9">
        <v>5.0975999999999999</v>
      </c>
      <c r="S49" s="12">
        <f t="shared" si="2"/>
        <v>183.75839999999999</v>
      </c>
      <c r="T49" s="29">
        <f t="shared" si="1"/>
        <v>36048.022598870055</v>
      </c>
    </row>
    <row r="50" spans="1:20" x14ac:dyDescent="0.2">
      <c r="A50" s="4">
        <v>38</v>
      </c>
      <c r="B50" s="4" t="s">
        <v>107</v>
      </c>
      <c r="C50" s="4"/>
      <c r="D50" s="4"/>
      <c r="E50" s="4"/>
      <c r="F50" s="4">
        <v>10.48</v>
      </c>
      <c r="G50" s="4"/>
      <c r="H50" s="5">
        <v>35.409999999999997</v>
      </c>
      <c r="I50" s="6">
        <v>845245</v>
      </c>
      <c r="J50" s="6"/>
      <c r="K50" s="6">
        <v>845244.875</v>
      </c>
      <c r="L50" s="6" t="s">
        <v>17</v>
      </c>
      <c r="M50" s="6">
        <v>277310.34399999998</v>
      </c>
      <c r="N50" s="6">
        <v>5863.3389999999999</v>
      </c>
      <c r="O50" s="4">
        <v>3.048</v>
      </c>
      <c r="P50" s="4"/>
      <c r="Q50" s="8">
        <v>60</v>
      </c>
      <c r="R50" s="9">
        <v>4.9290000000000003</v>
      </c>
      <c r="S50" s="12">
        <f t="shared" si="2"/>
        <v>178.46639999999999</v>
      </c>
      <c r="T50" s="29">
        <f t="shared" si="1"/>
        <v>36207.425441265972</v>
      </c>
    </row>
    <row r="51" spans="1:20" x14ac:dyDescent="0.2">
      <c r="A51" s="4">
        <v>39</v>
      </c>
      <c r="B51" s="4" t="s">
        <v>108</v>
      </c>
      <c r="C51" s="4"/>
      <c r="D51" s="4"/>
      <c r="E51" s="4"/>
      <c r="F51" s="4">
        <v>10.49</v>
      </c>
      <c r="G51" s="4"/>
      <c r="H51" s="5">
        <v>74.099999999999994</v>
      </c>
      <c r="I51" s="6">
        <v>1474944</v>
      </c>
      <c r="J51" s="6"/>
      <c r="K51" s="6">
        <v>1474943.5</v>
      </c>
      <c r="L51" s="6" t="s">
        <v>17</v>
      </c>
      <c r="M51" s="6">
        <v>487914.25</v>
      </c>
      <c r="N51" s="6">
        <v>4239.3339999999998</v>
      </c>
      <c r="O51" s="4">
        <v>3.0230000000000001</v>
      </c>
      <c r="P51" s="4"/>
      <c r="Q51" s="8">
        <v>60</v>
      </c>
      <c r="R51" s="9">
        <v>4.992</v>
      </c>
      <c r="S51" s="12">
        <f t="shared" si="2"/>
        <v>373.46399999999994</v>
      </c>
      <c r="T51" s="29">
        <f t="shared" si="1"/>
        <v>74812.499999999985</v>
      </c>
    </row>
    <row r="52" spans="1:20" x14ac:dyDescent="0.2">
      <c r="A52" s="4">
        <v>40</v>
      </c>
      <c r="B52" s="4" t="s">
        <v>109</v>
      </c>
      <c r="C52" s="4"/>
      <c r="D52" s="4"/>
      <c r="E52" s="4"/>
      <c r="F52" s="4">
        <v>10.49</v>
      </c>
      <c r="G52" s="4"/>
      <c r="H52" s="5">
        <v>81.62</v>
      </c>
      <c r="I52" s="6">
        <v>1561753</v>
      </c>
      <c r="J52" s="6"/>
      <c r="K52" s="6">
        <v>1561752.75</v>
      </c>
      <c r="L52" s="6" t="s">
        <v>17</v>
      </c>
      <c r="M52" s="6">
        <v>501868.81300000002</v>
      </c>
      <c r="N52" s="6">
        <v>3590.598</v>
      </c>
      <c r="O52" s="4">
        <v>3.1120000000000001</v>
      </c>
      <c r="P52" s="4"/>
      <c r="Q52" s="8">
        <v>60</v>
      </c>
      <c r="R52" s="9">
        <v>5.0566000000000004</v>
      </c>
      <c r="S52" s="12">
        <f t="shared" si="2"/>
        <v>411.3648</v>
      </c>
      <c r="T52" s="29">
        <f t="shared" si="1"/>
        <v>81352.054740339343</v>
      </c>
    </row>
    <row r="53" spans="1:20" x14ac:dyDescent="0.2">
      <c r="A53" s="4">
        <v>41</v>
      </c>
      <c r="B53" s="4" t="s">
        <v>110</v>
      </c>
      <c r="C53" s="4"/>
      <c r="D53" s="4"/>
      <c r="E53" s="4"/>
      <c r="F53" s="4">
        <v>10.49</v>
      </c>
      <c r="G53" s="4"/>
      <c r="H53" s="5"/>
      <c r="I53" s="6">
        <v>2030605</v>
      </c>
      <c r="J53" s="6"/>
      <c r="K53" s="6">
        <v>2030604.5</v>
      </c>
      <c r="L53" s="6" t="s">
        <v>34</v>
      </c>
      <c r="M53" s="6">
        <v>664016</v>
      </c>
      <c r="N53" s="6">
        <v>4283.63</v>
      </c>
      <c r="O53" s="4">
        <v>3.0579999999999998</v>
      </c>
      <c r="P53" s="4"/>
      <c r="Q53" s="8">
        <v>60</v>
      </c>
      <c r="R53" s="9">
        <v>4.9340000000000002</v>
      </c>
      <c r="S53" s="24" t="s">
        <v>127</v>
      </c>
      <c r="T53" s="23"/>
    </row>
    <row r="54" spans="1:20" x14ac:dyDescent="0.2">
      <c r="A54" s="4">
        <v>42</v>
      </c>
      <c r="B54" s="4" t="s">
        <v>111</v>
      </c>
      <c r="C54" s="4"/>
      <c r="D54" s="4"/>
      <c r="E54" s="4"/>
      <c r="F54" s="4">
        <v>10.49</v>
      </c>
      <c r="G54" s="4"/>
      <c r="H54" s="5"/>
      <c r="I54" s="6">
        <v>2465468</v>
      </c>
      <c r="J54" s="6"/>
      <c r="K54" s="6">
        <v>2465468</v>
      </c>
      <c r="L54" s="6" t="s">
        <v>34</v>
      </c>
      <c r="M54" s="6">
        <v>827255.125</v>
      </c>
      <c r="N54" s="6">
        <v>4257.2610000000004</v>
      </c>
      <c r="O54" s="4">
        <v>2.98</v>
      </c>
      <c r="P54" s="4"/>
      <c r="Q54" s="8">
        <v>60</v>
      </c>
      <c r="R54" s="9">
        <v>5.0629999999999997</v>
      </c>
      <c r="S54" s="24" t="s">
        <v>127</v>
      </c>
      <c r="T54" s="23"/>
    </row>
    <row r="55" spans="1:20" x14ac:dyDescent="0.2">
      <c r="A55" s="4">
        <v>43</v>
      </c>
      <c r="B55" s="4" t="s">
        <v>112</v>
      </c>
      <c r="C55" s="4"/>
      <c r="D55" s="4"/>
      <c r="E55" s="4"/>
      <c r="F55" s="4">
        <v>10.49</v>
      </c>
      <c r="G55" s="4"/>
      <c r="H55" s="5"/>
      <c r="I55" s="6">
        <v>2718751</v>
      </c>
      <c r="J55" s="6"/>
      <c r="K55" s="6">
        <v>2718751</v>
      </c>
      <c r="L55" s="6" t="s">
        <v>34</v>
      </c>
      <c r="M55" s="6">
        <v>923209.81299999997</v>
      </c>
      <c r="N55" s="6">
        <v>3310.808</v>
      </c>
      <c r="O55" s="4">
        <v>2.9449999999999998</v>
      </c>
      <c r="P55" s="4"/>
      <c r="Q55" s="8">
        <v>60</v>
      </c>
      <c r="R55" s="9">
        <v>4.9804000000000004</v>
      </c>
      <c r="S55" s="24" t="s">
        <v>127</v>
      </c>
      <c r="T55" s="23"/>
    </row>
    <row r="56" spans="1:20" x14ac:dyDescent="0.2">
      <c r="A56" s="4">
        <v>44</v>
      </c>
      <c r="B56" s="4" t="s">
        <v>113</v>
      </c>
      <c r="C56" s="4"/>
      <c r="D56" s="4"/>
      <c r="E56" s="4"/>
      <c r="F56" s="4">
        <v>10.49</v>
      </c>
      <c r="G56" s="4"/>
      <c r="H56" s="5"/>
      <c r="I56" s="6">
        <v>2716101</v>
      </c>
      <c r="J56" s="6"/>
      <c r="K56" s="6">
        <v>2716101.25</v>
      </c>
      <c r="L56" s="6" t="s">
        <v>34</v>
      </c>
      <c r="M56" s="6">
        <v>904255.75</v>
      </c>
      <c r="N56" s="6">
        <v>2594.1080000000002</v>
      </c>
      <c r="O56" s="4">
        <v>3.004</v>
      </c>
      <c r="P56" s="4"/>
      <c r="Q56" s="8">
        <v>60</v>
      </c>
      <c r="R56" s="9">
        <v>50.62</v>
      </c>
      <c r="S56" s="24" t="s">
        <v>127</v>
      </c>
      <c r="T56" s="23"/>
    </row>
    <row r="57" spans="1:20" x14ac:dyDescent="0.2">
      <c r="A57">
        <v>45</v>
      </c>
      <c r="B57" t="s">
        <v>114</v>
      </c>
      <c r="F57">
        <v>10.49</v>
      </c>
      <c r="H57" s="2">
        <v>0.13</v>
      </c>
      <c r="I57" s="3">
        <v>4264</v>
      </c>
      <c r="K57" s="3">
        <v>4264.2539999999999</v>
      </c>
      <c r="L57" s="3" t="s">
        <v>17</v>
      </c>
      <c r="M57" s="3">
        <v>1249.4079999999999</v>
      </c>
      <c r="N57" s="3">
        <v>250.09</v>
      </c>
      <c r="O57">
        <v>3.4129999999999998</v>
      </c>
      <c r="Q57" s="7"/>
    </row>
    <row r="58" spans="1:20" x14ac:dyDescent="0.2">
      <c r="A58">
        <v>46</v>
      </c>
      <c r="B58" t="s">
        <v>115</v>
      </c>
      <c r="F58">
        <v>10.49</v>
      </c>
      <c r="H58" s="2">
        <v>0.03</v>
      </c>
      <c r="I58" s="3">
        <v>1377</v>
      </c>
      <c r="K58" s="3">
        <v>1377.0509999999999</v>
      </c>
      <c r="L58" s="3" t="s">
        <v>17</v>
      </c>
      <c r="M58" s="3">
        <v>452.31599999999997</v>
      </c>
      <c r="N58" s="3">
        <v>132.61000000000001</v>
      </c>
      <c r="O58">
        <v>3.044</v>
      </c>
      <c r="Q58" s="7"/>
    </row>
    <row r="59" spans="1:20" x14ac:dyDescent="0.2">
      <c r="A59">
        <v>47</v>
      </c>
      <c r="B59" t="s">
        <v>116</v>
      </c>
      <c r="F59">
        <v>10.49</v>
      </c>
      <c r="H59" s="2">
        <v>0.01</v>
      </c>
      <c r="I59" s="3">
        <v>804</v>
      </c>
      <c r="K59" s="3">
        <v>803.69299999999998</v>
      </c>
      <c r="L59" s="3" t="s">
        <v>17</v>
      </c>
      <c r="M59" s="3">
        <v>262.49299999999999</v>
      </c>
      <c r="N59" s="3">
        <v>67.453000000000003</v>
      </c>
      <c r="O59">
        <v>3.0619999999999998</v>
      </c>
    </row>
    <row r="60" spans="1:20" x14ac:dyDescent="0.2">
      <c r="A60">
        <v>48</v>
      </c>
      <c r="B60" t="s">
        <v>117</v>
      </c>
      <c r="F60">
        <v>10.49</v>
      </c>
      <c r="I60" s="3">
        <v>317</v>
      </c>
      <c r="K60" s="3">
        <v>316.56400000000002</v>
      </c>
      <c r="L60" s="3" t="s">
        <v>34</v>
      </c>
      <c r="M60" s="3">
        <v>77.265000000000001</v>
      </c>
      <c r="N60" s="3">
        <v>50.988</v>
      </c>
      <c r="O60">
        <v>4.0970000000000004</v>
      </c>
    </row>
    <row r="61" spans="1:20" x14ac:dyDescent="0.2">
      <c r="A61">
        <v>53</v>
      </c>
      <c r="B61" t="s">
        <v>33</v>
      </c>
      <c r="F61">
        <v>10.49</v>
      </c>
      <c r="H61" s="2">
        <v>0.24</v>
      </c>
      <c r="I61" s="3">
        <v>7258</v>
      </c>
      <c r="K61" s="3">
        <v>7257.9390000000003</v>
      </c>
      <c r="L61" s="3" t="s">
        <v>17</v>
      </c>
      <c r="M61" s="3">
        <v>2405.7199999999998</v>
      </c>
      <c r="N61" s="3">
        <v>582.18100000000004</v>
      </c>
      <c r="O61">
        <v>3.0169999999999999</v>
      </c>
    </row>
    <row r="62" spans="1:20" x14ac:dyDescent="0.2">
      <c r="A62">
        <v>54</v>
      </c>
      <c r="B62" t="s">
        <v>35</v>
      </c>
      <c r="F62">
        <v>10.49</v>
      </c>
      <c r="H62" s="2">
        <v>0.03</v>
      </c>
      <c r="I62" s="3">
        <v>1431</v>
      </c>
      <c r="K62" s="3">
        <v>1431.15</v>
      </c>
      <c r="L62" s="3" t="s">
        <v>17</v>
      </c>
      <c r="M62" s="3">
        <v>465.49200000000002</v>
      </c>
      <c r="N62" s="3">
        <v>145.089</v>
      </c>
      <c r="O62">
        <v>3.0750000000000002</v>
      </c>
    </row>
    <row r="63" spans="1:20" x14ac:dyDescent="0.2">
      <c r="A63">
        <v>55</v>
      </c>
      <c r="B63" t="s">
        <v>36</v>
      </c>
      <c r="F63">
        <v>10.49</v>
      </c>
      <c r="I63" s="3">
        <v>408</v>
      </c>
      <c r="K63" s="3">
        <v>407.54199999999997</v>
      </c>
      <c r="L63" s="3" t="s">
        <v>34</v>
      </c>
      <c r="M63" s="3">
        <v>147.45400000000001</v>
      </c>
      <c r="N63" s="3">
        <v>36.661999999999999</v>
      </c>
      <c r="O63">
        <v>2.7639999999999998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"/>
  <sheetViews>
    <sheetView workbookViewId="0">
      <selection activeCell="C45" sqref="C45"/>
    </sheetView>
  </sheetViews>
  <sheetFormatPr baseColWidth="10" defaultRowHeight="15" x14ac:dyDescent="0.2"/>
  <cols>
    <col min="1" max="1" width="3.6640625" customWidth="1"/>
    <col min="2" max="2" width="25.83203125" bestFit="1" customWidth="1"/>
    <col min="3" max="3" width="7.33203125" customWidth="1"/>
    <col min="4" max="4" width="8.5" customWidth="1"/>
    <col min="5" max="5" width="7.33203125" customWidth="1"/>
    <col min="6" max="6" width="4.83203125" customWidth="1"/>
    <col min="7" max="7" width="5.5" customWidth="1"/>
    <col min="8" max="8" width="10.83203125" style="2"/>
    <col min="9" max="9" width="10.83203125" style="3"/>
    <col min="10" max="10" width="5" style="3" customWidth="1"/>
    <col min="11" max="11" width="10.83203125" style="3"/>
    <col min="12" max="12" width="6.1640625" style="3" customWidth="1"/>
    <col min="13" max="14" width="10.83203125" style="3"/>
    <col min="16" max="16" width="2.6640625" customWidth="1"/>
    <col min="17" max="17" width="10.83203125" style="1"/>
    <col min="18" max="18" width="15.33203125" style="1" bestFit="1" customWidth="1"/>
    <col min="19" max="19" width="17.83203125" style="10" bestFit="1" customWidth="1"/>
    <col min="20" max="20" width="10.83203125" style="19"/>
    <col min="21" max="21" width="19.6640625" bestFit="1" customWidth="1"/>
  </cols>
  <sheetData>
    <row r="1" spans="1:15" x14ac:dyDescent="0.2">
      <c r="A1" t="s">
        <v>67</v>
      </c>
    </row>
    <row r="3" spans="1:15" x14ac:dyDescent="0.2">
      <c r="A3" t="s">
        <v>118</v>
      </c>
    </row>
    <row r="5" spans="1:15" x14ac:dyDescent="0.2">
      <c r="A5" t="s">
        <v>69</v>
      </c>
    </row>
    <row r="7" spans="1:15" x14ac:dyDescent="0.2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t="s">
        <v>14</v>
      </c>
    </row>
    <row r="8" spans="1:15" x14ac:dyDescent="0.2">
      <c r="A8" s="4">
        <v>1</v>
      </c>
      <c r="B8" s="4" t="s">
        <v>70</v>
      </c>
      <c r="C8" s="4"/>
      <c r="D8" s="4" t="s">
        <v>16</v>
      </c>
      <c r="E8" s="4">
        <v>0.26400000000000001</v>
      </c>
      <c r="F8" s="4">
        <v>10.49</v>
      </c>
      <c r="G8" s="4">
        <v>-100</v>
      </c>
      <c r="H8" s="5"/>
      <c r="I8" s="6">
        <v>7629</v>
      </c>
      <c r="J8" s="6"/>
      <c r="K8" s="6">
        <v>7628.6009999999997</v>
      </c>
      <c r="L8" s="6" t="s">
        <v>21</v>
      </c>
      <c r="M8" s="6">
        <v>2479.761</v>
      </c>
      <c r="N8" s="6">
        <v>725.13</v>
      </c>
      <c r="O8" s="4">
        <v>3.0760000000000001</v>
      </c>
    </row>
    <row r="9" spans="1:15" x14ac:dyDescent="0.2">
      <c r="A9" s="4">
        <v>2</v>
      </c>
      <c r="B9" s="4" t="s">
        <v>71</v>
      </c>
      <c r="C9" s="4"/>
      <c r="D9" s="4" t="s">
        <v>16</v>
      </c>
      <c r="E9" s="4">
        <v>0.26400000000000001</v>
      </c>
      <c r="F9" s="4">
        <v>10.49</v>
      </c>
      <c r="G9" s="4">
        <v>-100</v>
      </c>
      <c r="H9" s="5"/>
      <c r="I9" s="6">
        <v>7785</v>
      </c>
      <c r="J9" s="6"/>
      <c r="K9" s="6">
        <v>7784.72</v>
      </c>
      <c r="L9" s="6" t="s">
        <v>21</v>
      </c>
      <c r="M9" s="6">
        <v>2579.4430000000002</v>
      </c>
      <c r="N9" s="6">
        <v>994.73400000000004</v>
      </c>
      <c r="O9" s="4">
        <v>3.0179999999999998</v>
      </c>
    </row>
    <row r="10" spans="1:15" x14ac:dyDescent="0.2">
      <c r="A10" s="4">
        <v>3</v>
      </c>
      <c r="B10" s="4" t="s">
        <v>72</v>
      </c>
      <c r="C10" s="4"/>
      <c r="D10" s="4" t="s">
        <v>16</v>
      </c>
      <c r="E10" s="4">
        <v>0.495</v>
      </c>
      <c r="F10" s="4">
        <v>10.49</v>
      </c>
      <c r="G10" s="4">
        <v>-57.9</v>
      </c>
      <c r="H10" s="5">
        <v>0.21</v>
      </c>
      <c r="I10" s="6">
        <v>13933</v>
      </c>
      <c r="J10" s="6"/>
      <c r="K10" s="6">
        <v>13932.592000000001</v>
      </c>
      <c r="L10" s="6" t="s">
        <v>119</v>
      </c>
      <c r="M10" s="6">
        <v>4509.2330000000002</v>
      </c>
      <c r="N10" s="6">
        <v>1159.8409999999999</v>
      </c>
      <c r="O10" s="4">
        <v>3.09</v>
      </c>
    </row>
    <row r="11" spans="1:15" x14ac:dyDescent="0.2">
      <c r="A11" s="4">
        <v>4</v>
      </c>
      <c r="B11" s="4" t="s">
        <v>73</v>
      </c>
      <c r="C11" s="4"/>
      <c r="D11" s="4" t="s">
        <v>16</v>
      </c>
      <c r="E11" s="4">
        <v>0.495</v>
      </c>
      <c r="F11" s="4">
        <v>10.49</v>
      </c>
      <c r="G11" s="4">
        <v>-57.6</v>
      </c>
      <c r="H11" s="5">
        <v>0.21</v>
      </c>
      <c r="I11" s="6">
        <v>13970</v>
      </c>
      <c r="J11" s="6"/>
      <c r="K11" s="6">
        <v>13970.325000000001</v>
      </c>
      <c r="L11" s="6" t="s">
        <v>119</v>
      </c>
      <c r="M11" s="6">
        <v>4517.808</v>
      </c>
      <c r="N11" s="6">
        <v>509.053</v>
      </c>
      <c r="O11" s="4">
        <v>3.0920000000000001</v>
      </c>
    </row>
    <row r="12" spans="1:15" x14ac:dyDescent="0.2">
      <c r="A12" s="4">
        <v>5</v>
      </c>
      <c r="B12" s="4" t="s">
        <v>74</v>
      </c>
      <c r="C12" s="4"/>
      <c r="D12" s="4" t="s">
        <v>16</v>
      </c>
      <c r="E12" s="4">
        <v>0.99</v>
      </c>
      <c r="F12" s="4">
        <v>10.49</v>
      </c>
      <c r="G12" s="4">
        <v>-18.7</v>
      </c>
      <c r="H12" s="5">
        <v>0.8</v>
      </c>
      <c r="I12" s="6">
        <v>28552</v>
      </c>
      <c r="J12" s="6"/>
      <c r="K12" s="6">
        <v>28552.418000000001</v>
      </c>
      <c r="L12" s="6" t="s">
        <v>119</v>
      </c>
      <c r="M12" s="6">
        <v>8808.9750000000004</v>
      </c>
      <c r="N12" s="6">
        <v>1481.192</v>
      </c>
      <c r="O12" s="4">
        <v>3.2410000000000001</v>
      </c>
    </row>
    <row r="13" spans="1:15" x14ac:dyDescent="0.2">
      <c r="A13">
        <v>6</v>
      </c>
      <c r="B13" t="s">
        <v>75</v>
      </c>
      <c r="D13" t="s">
        <v>16</v>
      </c>
      <c r="E13">
        <v>2.2999999999999998</v>
      </c>
      <c r="F13">
        <v>10.49</v>
      </c>
      <c r="G13">
        <v>-4.4000000000000004</v>
      </c>
      <c r="H13" s="2">
        <v>2.2000000000000002</v>
      </c>
      <c r="I13" s="3">
        <v>62639</v>
      </c>
      <c r="K13" s="3">
        <v>62638.641000000003</v>
      </c>
      <c r="L13" s="3" t="s">
        <v>17</v>
      </c>
      <c r="M13" s="3">
        <v>20564.629000000001</v>
      </c>
      <c r="N13" s="3">
        <v>1909.979</v>
      </c>
      <c r="O13">
        <v>3.0459999999999998</v>
      </c>
    </row>
    <row r="14" spans="1:15" x14ac:dyDescent="0.2">
      <c r="A14">
        <v>7</v>
      </c>
      <c r="B14" t="s">
        <v>76</v>
      </c>
      <c r="D14" t="s">
        <v>16</v>
      </c>
      <c r="E14">
        <v>5.3</v>
      </c>
      <c r="F14">
        <v>10.49</v>
      </c>
      <c r="G14">
        <v>3.4</v>
      </c>
      <c r="H14" s="2">
        <v>5.48</v>
      </c>
      <c r="I14" s="3">
        <v>142551</v>
      </c>
      <c r="K14" s="3">
        <v>142550.67199999999</v>
      </c>
      <c r="L14" s="3" t="s">
        <v>17</v>
      </c>
      <c r="M14" s="3">
        <v>48973.913999999997</v>
      </c>
      <c r="N14" s="3">
        <v>4522.6030000000001</v>
      </c>
      <c r="O14">
        <v>2.911</v>
      </c>
    </row>
    <row r="15" spans="1:15" x14ac:dyDescent="0.2">
      <c r="A15">
        <v>8</v>
      </c>
      <c r="B15" t="s">
        <v>77</v>
      </c>
      <c r="D15" t="s">
        <v>16</v>
      </c>
      <c r="E15">
        <v>26.4</v>
      </c>
      <c r="F15">
        <v>10.49</v>
      </c>
      <c r="G15">
        <v>0.4</v>
      </c>
      <c r="H15" s="2">
        <v>26.51</v>
      </c>
      <c r="I15" s="3">
        <v>641877</v>
      </c>
      <c r="K15" s="3">
        <v>641877.18799999997</v>
      </c>
      <c r="L15" s="3" t="s">
        <v>17</v>
      </c>
      <c r="M15" s="3">
        <v>218719.54699999999</v>
      </c>
      <c r="N15" s="3">
        <v>2371.6039999999998</v>
      </c>
      <c r="O15">
        <v>2.9350000000000001</v>
      </c>
    </row>
    <row r="16" spans="1:15" x14ac:dyDescent="0.2">
      <c r="A16">
        <v>9</v>
      </c>
      <c r="B16" t="s">
        <v>78</v>
      </c>
      <c r="D16" t="s">
        <v>16</v>
      </c>
      <c r="E16">
        <v>101.4</v>
      </c>
      <c r="F16">
        <v>10.49</v>
      </c>
      <c r="G16">
        <v>-2.2999999999999998</v>
      </c>
      <c r="H16" s="2">
        <v>99.03</v>
      </c>
      <c r="I16" s="3">
        <v>2200098</v>
      </c>
      <c r="K16" s="3">
        <v>2200098.25</v>
      </c>
      <c r="L16" s="3" t="s">
        <v>17</v>
      </c>
      <c r="M16" s="3">
        <v>775210</v>
      </c>
      <c r="N16" s="3">
        <v>4879.04</v>
      </c>
      <c r="O16">
        <v>2.8380000000000001</v>
      </c>
    </row>
    <row r="17" spans="1:22" x14ac:dyDescent="0.2">
      <c r="A17">
        <v>10</v>
      </c>
      <c r="B17" t="s">
        <v>79</v>
      </c>
      <c r="D17" t="s">
        <v>16</v>
      </c>
      <c r="E17">
        <v>253.5</v>
      </c>
      <c r="F17">
        <v>10.49</v>
      </c>
      <c r="G17">
        <v>1</v>
      </c>
      <c r="H17" s="2">
        <v>255.97</v>
      </c>
      <c r="I17" s="3">
        <v>4700424</v>
      </c>
      <c r="K17" s="3">
        <v>4700423.5</v>
      </c>
      <c r="L17" s="3" t="s">
        <v>17</v>
      </c>
      <c r="M17" s="3">
        <v>1589750.5</v>
      </c>
      <c r="N17" s="3">
        <v>4132.0870000000004</v>
      </c>
      <c r="O17">
        <v>2.9569999999999999</v>
      </c>
    </row>
    <row r="18" spans="1:22" x14ac:dyDescent="0.2">
      <c r="A18" s="4">
        <v>49</v>
      </c>
      <c r="B18" s="4" t="s">
        <v>15</v>
      </c>
      <c r="C18" s="4"/>
      <c r="D18" s="4" t="s">
        <v>16</v>
      </c>
      <c r="E18" s="4">
        <v>0.495</v>
      </c>
      <c r="F18" s="4">
        <v>10.49</v>
      </c>
      <c r="G18" s="4">
        <v>-52.6</v>
      </c>
      <c r="H18" s="5">
        <v>0.23</v>
      </c>
      <c r="I18" s="6">
        <v>14577</v>
      </c>
      <c r="J18" s="6"/>
      <c r="K18" s="6">
        <v>14577.466</v>
      </c>
      <c r="L18" s="6" t="s">
        <v>119</v>
      </c>
      <c r="M18" s="6">
        <v>4992.7380000000003</v>
      </c>
      <c r="N18" s="6">
        <v>1601.0740000000001</v>
      </c>
      <c r="O18" s="4">
        <v>2.92</v>
      </c>
    </row>
    <row r="19" spans="1:22" x14ac:dyDescent="0.2">
      <c r="A19">
        <v>50</v>
      </c>
      <c r="B19" t="s">
        <v>18</v>
      </c>
      <c r="D19" t="s">
        <v>16</v>
      </c>
      <c r="E19">
        <v>2.2999999999999998</v>
      </c>
      <c r="F19">
        <v>10.49</v>
      </c>
      <c r="G19">
        <v>-2.1</v>
      </c>
      <c r="H19" s="2">
        <v>2.25</v>
      </c>
      <c r="I19" s="3">
        <v>63923</v>
      </c>
      <c r="K19" s="3">
        <v>63923.129000000001</v>
      </c>
      <c r="L19" s="3" t="s">
        <v>17</v>
      </c>
      <c r="M19" s="3">
        <v>21446.842000000001</v>
      </c>
      <c r="N19" s="3">
        <v>2908.3130000000001</v>
      </c>
      <c r="O19">
        <v>2.98</v>
      </c>
    </row>
    <row r="20" spans="1:22" x14ac:dyDescent="0.2">
      <c r="A20">
        <v>51</v>
      </c>
      <c r="B20" t="s">
        <v>19</v>
      </c>
      <c r="D20" t="s">
        <v>16</v>
      </c>
      <c r="E20">
        <v>26.4</v>
      </c>
      <c r="F20">
        <v>10.49</v>
      </c>
      <c r="G20">
        <v>4.5999999999999996</v>
      </c>
      <c r="H20" s="2">
        <v>27.6</v>
      </c>
      <c r="I20" s="3">
        <v>667383</v>
      </c>
      <c r="K20" s="3">
        <v>667383.43799999997</v>
      </c>
      <c r="L20" s="3" t="s">
        <v>17</v>
      </c>
      <c r="M20" s="3">
        <v>221075.391</v>
      </c>
      <c r="N20" s="3">
        <v>6564</v>
      </c>
      <c r="O20">
        <v>3.0190000000000001</v>
      </c>
    </row>
    <row r="21" spans="1:22" x14ac:dyDescent="0.2">
      <c r="A21">
        <v>52</v>
      </c>
      <c r="B21" t="s">
        <v>20</v>
      </c>
      <c r="D21" t="s">
        <v>16</v>
      </c>
      <c r="E21">
        <v>253.5</v>
      </c>
      <c r="F21">
        <v>10.49</v>
      </c>
      <c r="G21">
        <v>-0.5</v>
      </c>
      <c r="H21" s="2">
        <v>252.3</v>
      </c>
      <c r="I21" s="3">
        <v>4655511</v>
      </c>
      <c r="K21" s="3">
        <v>4655510.5</v>
      </c>
      <c r="L21" s="3" t="s">
        <v>17</v>
      </c>
      <c r="M21" s="3">
        <v>1562686.75</v>
      </c>
      <c r="N21" s="3">
        <v>3194.7669999999998</v>
      </c>
      <c r="O21">
        <v>2.9790000000000001</v>
      </c>
    </row>
    <row r="22" spans="1:22" x14ac:dyDescent="0.2">
      <c r="A22" s="4">
        <v>56</v>
      </c>
      <c r="B22" s="4" t="s">
        <v>22</v>
      </c>
      <c r="C22" s="4"/>
      <c r="D22" s="4" t="s">
        <v>16</v>
      </c>
      <c r="E22" s="4">
        <v>4.1000000000000002E-2</v>
      </c>
      <c r="F22" s="4">
        <v>10.49</v>
      </c>
      <c r="G22" s="4">
        <v>-100</v>
      </c>
      <c r="H22" s="5"/>
      <c r="I22" s="6">
        <v>1738</v>
      </c>
      <c r="J22" s="6"/>
      <c r="K22" s="6">
        <v>1738.365</v>
      </c>
      <c r="L22" s="6" t="s">
        <v>21</v>
      </c>
      <c r="M22" s="6">
        <v>553.97699999999998</v>
      </c>
      <c r="N22" s="6">
        <v>228.43600000000001</v>
      </c>
      <c r="O22" s="4">
        <v>3.1379999999999999</v>
      </c>
    </row>
    <row r="23" spans="1:22" x14ac:dyDescent="0.2">
      <c r="A23">
        <v>11</v>
      </c>
      <c r="B23" t="s">
        <v>80</v>
      </c>
      <c r="F23">
        <v>10.49</v>
      </c>
      <c r="I23" s="3">
        <v>7307</v>
      </c>
      <c r="K23" s="3">
        <v>7307.17</v>
      </c>
      <c r="L23" s="3" t="s">
        <v>34</v>
      </c>
      <c r="M23" s="3">
        <v>2567.3130000000001</v>
      </c>
      <c r="N23" s="3">
        <v>419.90199999999999</v>
      </c>
      <c r="O23">
        <v>2.8460000000000001</v>
      </c>
    </row>
    <row r="24" spans="1:22" x14ac:dyDescent="0.2">
      <c r="A24">
        <v>12</v>
      </c>
      <c r="B24" t="s">
        <v>81</v>
      </c>
      <c r="F24">
        <v>10.5</v>
      </c>
      <c r="I24" s="3">
        <v>1749</v>
      </c>
      <c r="K24" s="3">
        <v>1749.175</v>
      </c>
      <c r="L24" s="3" t="s">
        <v>34</v>
      </c>
      <c r="M24" s="3">
        <v>603.82500000000005</v>
      </c>
      <c r="N24" s="3">
        <v>197.74299999999999</v>
      </c>
      <c r="O24">
        <v>2.8969999999999998</v>
      </c>
    </row>
    <row r="25" spans="1:22" x14ac:dyDescent="0.2">
      <c r="A25">
        <v>13</v>
      </c>
      <c r="B25" t="s">
        <v>82</v>
      </c>
      <c r="F25">
        <v>10.49</v>
      </c>
      <c r="I25" s="3">
        <v>881</v>
      </c>
      <c r="K25" s="3">
        <v>880.80100000000004</v>
      </c>
      <c r="L25" s="3" t="s">
        <v>34</v>
      </c>
      <c r="M25" s="3">
        <v>280.18099999999998</v>
      </c>
      <c r="N25" s="3">
        <v>106.161</v>
      </c>
      <c r="O25">
        <v>3.1440000000000001</v>
      </c>
    </row>
    <row r="26" spans="1:22" x14ac:dyDescent="0.2">
      <c r="A26">
        <v>14</v>
      </c>
      <c r="B26" t="s">
        <v>83</v>
      </c>
      <c r="F26">
        <v>10.5</v>
      </c>
      <c r="I26" s="3">
        <v>606</v>
      </c>
      <c r="K26" s="3">
        <v>606.43799999999999</v>
      </c>
      <c r="L26" s="3" t="s">
        <v>34</v>
      </c>
      <c r="M26" s="3">
        <v>137.602</v>
      </c>
      <c r="N26" s="3">
        <v>75.787000000000006</v>
      </c>
      <c r="O26">
        <v>4.407</v>
      </c>
    </row>
    <row r="27" spans="1:22" x14ac:dyDescent="0.2">
      <c r="A27">
        <v>15</v>
      </c>
      <c r="B27" t="s">
        <v>84</v>
      </c>
      <c r="F27">
        <v>10.5</v>
      </c>
      <c r="I27" s="3">
        <v>234</v>
      </c>
      <c r="K27" s="3">
        <v>234.21</v>
      </c>
      <c r="L27" s="3" t="s">
        <v>34</v>
      </c>
      <c r="M27" s="3">
        <v>73.863</v>
      </c>
      <c r="N27" s="3">
        <v>29.844999999999999</v>
      </c>
      <c r="O27">
        <v>3.1709999999999998</v>
      </c>
    </row>
    <row r="28" spans="1:22" x14ac:dyDescent="0.2">
      <c r="A28">
        <v>16</v>
      </c>
      <c r="B28" t="s">
        <v>85</v>
      </c>
      <c r="F28">
        <v>10.49</v>
      </c>
      <c r="I28" s="3">
        <v>118</v>
      </c>
      <c r="K28" s="3">
        <v>117.8</v>
      </c>
      <c r="L28" s="3" t="s">
        <v>34</v>
      </c>
      <c r="M28" s="3">
        <v>32.741999999999997</v>
      </c>
      <c r="N28" s="3">
        <v>16.971</v>
      </c>
      <c r="O28">
        <v>3.5979999999999999</v>
      </c>
      <c r="Q28" s="1" t="s">
        <v>120</v>
      </c>
      <c r="R28" s="1" t="s">
        <v>121</v>
      </c>
      <c r="S28" s="10" t="s">
        <v>124</v>
      </c>
      <c r="T28" s="20" t="s">
        <v>122</v>
      </c>
      <c r="U28" t="s">
        <v>123</v>
      </c>
      <c r="V28" s="1" t="s">
        <v>125</v>
      </c>
    </row>
    <row r="29" spans="1:22" x14ac:dyDescent="0.2">
      <c r="A29" s="4">
        <v>17</v>
      </c>
      <c r="B29" s="4" t="s">
        <v>86</v>
      </c>
      <c r="C29" s="4"/>
      <c r="D29" s="4"/>
      <c r="E29" s="4"/>
      <c r="F29" s="4">
        <v>10.49</v>
      </c>
      <c r="G29" s="4"/>
      <c r="H29" s="5"/>
      <c r="I29" s="6">
        <v>193</v>
      </c>
      <c r="J29" s="6"/>
      <c r="K29" s="6">
        <v>193.38399999999999</v>
      </c>
      <c r="L29" s="6" t="s">
        <v>34</v>
      </c>
      <c r="M29" s="6">
        <v>54.274999999999999</v>
      </c>
      <c r="N29" s="6">
        <v>52.991</v>
      </c>
      <c r="O29" s="4">
        <v>3.5630000000000002</v>
      </c>
      <c r="P29" s="4"/>
      <c r="Q29" s="9"/>
      <c r="R29" s="9"/>
      <c r="S29" s="25"/>
      <c r="T29" s="23"/>
      <c r="U29" s="4"/>
      <c r="V29" s="4"/>
    </row>
    <row r="30" spans="1:22" x14ac:dyDescent="0.2">
      <c r="A30" s="4">
        <v>18</v>
      </c>
      <c r="B30" s="4" t="s">
        <v>87</v>
      </c>
      <c r="C30" s="4"/>
      <c r="D30" s="4"/>
      <c r="E30" s="4"/>
      <c r="F30" s="4">
        <v>10.5</v>
      </c>
      <c r="G30" s="4"/>
      <c r="H30" s="5"/>
      <c r="I30" s="6">
        <v>187</v>
      </c>
      <c r="J30" s="6"/>
      <c r="K30" s="6">
        <v>187.06</v>
      </c>
      <c r="L30" s="6" t="s">
        <v>34</v>
      </c>
      <c r="M30" s="6">
        <v>52.484000000000002</v>
      </c>
      <c r="N30" s="6">
        <v>48.674999999999997</v>
      </c>
      <c r="O30" s="4">
        <v>3.5640000000000001</v>
      </c>
      <c r="P30" s="4"/>
      <c r="Q30" s="9"/>
      <c r="R30" s="9"/>
      <c r="S30" s="25"/>
      <c r="T30" s="23"/>
      <c r="U30" s="4"/>
      <c r="V30" s="4"/>
    </row>
    <row r="31" spans="1:22" x14ac:dyDescent="0.2">
      <c r="A31" s="4">
        <v>19</v>
      </c>
      <c r="B31" s="4" t="s">
        <v>88</v>
      </c>
      <c r="C31" s="4"/>
      <c r="D31" s="4"/>
      <c r="E31" s="4"/>
      <c r="F31" s="4">
        <v>10.49</v>
      </c>
      <c r="G31" s="4"/>
      <c r="H31" s="5"/>
      <c r="I31" s="6">
        <v>2053</v>
      </c>
      <c r="J31" s="6"/>
      <c r="K31" s="6">
        <v>2053.3539999999998</v>
      </c>
      <c r="L31" s="6" t="s">
        <v>34</v>
      </c>
      <c r="M31" s="6">
        <v>672.47</v>
      </c>
      <c r="N31" s="6">
        <v>299.76100000000002</v>
      </c>
      <c r="O31" s="4">
        <v>3.0529999999999999</v>
      </c>
      <c r="P31" s="4"/>
      <c r="Q31" s="8">
        <v>1</v>
      </c>
      <c r="R31" s="9">
        <v>5.0263</v>
      </c>
      <c r="S31" s="26"/>
      <c r="T31" s="23"/>
      <c r="U31" s="4"/>
      <c r="V31" s="4"/>
    </row>
    <row r="32" spans="1:22" x14ac:dyDescent="0.2">
      <c r="A32" s="4">
        <v>20</v>
      </c>
      <c r="B32" s="4" t="s">
        <v>89</v>
      </c>
      <c r="C32" s="4"/>
      <c r="D32" s="4"/>
      <c r="E32" s="4"/>
      <c r="F32" s="4">
        <v>10.49</v>
      </c>
      <c r="G32" s="4"/>
      <c r="H32" s="5"/>
      <c r="I32" s="6">
        <v>1668</v>
      </c>
      <c r="J32" s="6"/>
      <c r="K32" s="6">
        <v>1667.798</v>
      </c>
      <c r="L32" s="6" t="s">
        <v>34</v>
      </c>
      <c r="M32" s="6">
        <v>658.14400000000001</v>
      </c>
      <c r="N32" s="6">
        <v>190.416</v>
      </c>
      <c r="O32" s="4">
        <v>2.5339999999999998</v>
      </c>
      <c r="P32" s="4"/>
      <c r="Q32" s="8">
        <v>1</v>
      </c>
      <c r="R32" s="9">
        <v>4.96</v>
      </c>
      <c r="S32" s="26"/>
      <c r="T32" s="23"/>
      <c r="U32" s="4"/>
      <c r="V32" s="4"/>
    </row>
    <row r="33" spans="1:23" x14ac:dyDescent="0.2">
      <c r="A33" s="4">
        <v>21</v>
      </c>
      <c r="B33" s="4" t="s">
        <v>90</v>
      </c>
      <c r="C33" s="4"/>
      <c r="D33" s="4"/>
      <c r="E33" s="4"/>
      <c r="F33" s="4">
        <v>10.49</v>
      </c>
      <c r="G33" s="4"/>
      <c r="H33" s="5"/>
      <c r="I33" s="6">
        <v>281</v>
      </c>
      <c r="J33" s="6"/>
      <c r="K33" s="6">
        <v>281.47000000000003</v>
      </c>
      <c r="L33" s="6" t="s">
        <v>34</v>
      </c>
      <c r="M33" s="6">
        <v>101.91</v>
      </c>
      <c r="N33" s="6">
        <v>112.63200000000001</v>
      </c>
      <c r="O33" s="4">
        <v>2.762</v>
      </c>
      <c r="P33" s="4"/>
      <c r="Q33" s="8">
        <v>20</v>
      </c>
      <c r="R33" s="9">
        <v>4.95</v>
      </c>
      <c r="S33" s="26"/>
      <c r="T33" s="23"/>
      <c r="U33" s="4"/>
      <c r="V33" s="4"/>
    </row>
    <row r="34" spans="1:23" x14ac:dyDescent="0.2">
      <c r="A34" s="4">
        <v>22</v>
      </c>
      <c r="B34" s="4" t="s">
        <v>91</v>
      </c>
      <c r="C34" s="4"/>
      <c r="D34" s="4"/>
      <c r="E34" s="4"/>
      <c r="F34" s="4">
        <v>10.49</v>
      </c>
      <c r="G34" s="4"/>
      <c r="H34" s="5"/>
      <c r="I34" s="6">
        <v>848</v>
      </c>
      <c r="J34" s="6"/>
      <c r="K34" s="6">
        <v>847.98900000000003</v>
      </c>
      <c r="L34" s="6" t="s">
        <v>34</v>
      </c>
      <c r="M34" s="6">
        <v>259.089</v>
      </c>
      <c r="N34" s="6">
        <v>137.66</v>
      </c>
      <c r="O34" s="4">
        <v>3.2730000000000001</v>
      </c>
      <c r="P34" s="4"/>
      <c r="Q34" s="8">
        <v>20</v>
      </c>
      <c r="R34" s="9">
        <v>4.9660000000000002</v>
      </c>
      <c r="S34" s="26"/>
      <c r="T34" s="23"/>
      <c r="U34" s="4"/>
      <c r="V34" s="4"/>
    </row>
    <row r="35" spans="1:23" x14ac:dyDescent="0.2">
      <c r="A35" s="4">
        <v>23</v>
      </c>
      <c r="B35" s="4" t="s">
        <v>92</v>
      </c>
      <c r="C35" s="4"/>
      <c r="D35" s="4"/>
      <c r="E35" s="4"/>
      <c r="F35" s="4">
        <v>10.49</v>
      </c>
      <c r="G35" s="4"/>
      <c r="H35" s="5"/>
      <c r="I35" s="6">
        <v>263</v>
      </c>
      <c r="J35" s="6"/>
      <c r="K35" s="6">
        <v>263.47300000000001</v>
      </c>
      <c r="L35" s="6" t="s">
        <v>34</v>
      </c>
      <c r="M35" s="6">
        <v>72.831000000000003</v>
      </c>
      <c r="N35" s="6">
        <v>78.242000000000004</v>
      </c>
      <c r="O35" s="4">
        <v>3.6179999999999999</v>
      </c>
      <c r="P35" s="4"/>
      <c r="Q35" s="8">
        <v>20</v>
      </c>
      <c r="R35" s="9">
        <v>4.9333999999999998</v>
      </c>
      <c r="S35" s="26"/>
      <c r="T35" s="23"/>
      <c r="U35" s="4"/>
      <c r="V35" s="4"/>
    </row>
    <row r="36" spans="1:23" x14ac:dyDescent="0.2">
      <c r="A36" s="4">
        <v>24</v>
      </c>
      <c r="B36" s="4" t="s">
        <v>93</v>
      </c>
      <c r="C36" s="4"/>
      <c r="D36" s="4"/>
      <c r="E36" s="4"/>
      <c r="F36" s="4">
        <v>10.49</v>
      </c>
      <c r="G36" s="4"/>
      <c r="H36" s="5"/>
      <c r="I36" s="6">
        <v>115</v>
      </c>
      <c r="J36" s="6"/>
      <c r="K36" s="6">
        <v>115.221</v>
      </c>
      <c r="L36" s="6" t="s">
        <v>34</v>
      </c>
      <c r="M36" s="6">
        <v>34.036000000000001</v>
      </c>
      <c r="N36" s="6">
        <v>33.290999999999997</v>
      </c>
      <c r="O36" s="4">
        <v>3.3849999999999998</v>
      </c>
      <c r="P36" s="4"/>
      <c r="Q36" s="8">
        <v>20</v>
      </c>
      <c r="R36" s="9">
        <v>4.9353999999999996</v>
      </c>
      <c r="S36" s="26"/>
      <c r="T36" s="23"/>
      <c r="U36" s="4"/>
      <c r="V36" s="4"/>
    </row>
    <row r="37" spans="1:23" x14ac:dyDescent="0.2">
      <c r="A37" s="13">
        <v>25</v>
      </c>
      <c r="B37" s="13" t="s">
        <v>94</v>
      </c>
      <c r="C37" s="13" t="s">
        <v>148</v>
      </c>
      <c r="D37" s="13"/>
      <c r="E37" s="13"/>
      <c r="F37" s="13">
        <v>10.49</v>
      </c>
      <c r="G37" s="13"/>
      <c r="H37" s="14">
        <v>5.99</v>
      </c>
      <c r="I37" s="15">
        <v>154756</v>
      </c>
      <c r="J37" s="15"/>
      <c r="K37" s="15">
        <v>154756.391</v>
      </c>
      <c r="L37" s="15" t="s">
        <v>17</v>
      </c>
      <c r="M37" s="15">
        <v>52014.07</v>
      </c>
      <c r="N37" s="15">
        <v>2885.3679999999999</v>
      </c>
      <c r="O37" s="13">
        <v>2.9750000000000001</v>
      </c>
      <c r="P37" s="13"/>
      <c r="Q37" s="16">
        <v>60</v>
      </c>
      <c r="R37" s="17">
        <v>5.0309999999999997</v>
      </c>
      <c r="S37" s="18">
        <f t="shared" ref="S37:S56" si="0">(H37*Q37*1.2/1000)*(7/0.1)</f>
        <v>30.189600000000002</v>
      </c>
      <c r="T37" s="27">
        <f t="shared" ref="T37:T56" si="1">S37*1000/R37</f>
        <v>6000.7155635062618</v>
      </c>
      <c r="U37" s="18">
        <f>0.05*569.25</f>
        <v>28.462500000000002</v>
      </c>
      <c r="V37" s="21">
        <f>(S37-S31)*100/U37</f>
        <v>106.06798418972332</v>
      </c>
      <c r="W37" t="s">
        <v>126</v>
      </c>
    </row>
    <row r="38" spans="1:23" x14ac:dyDescent="0.2">
      <c r="A38" s="13">
        <v>26</v>
      </c>
      <c r="B38" s="13" t="s">
        <v>95</v>
      </c>
      <c r="C38" s="13" t="s">
        <v>148</v>
      </c>
      <c r="D38" s="13"/>
      <c r="E38" s="13"/>
      <c r="F38" s="13">
        <v>10.49</v>
      </c>
      <c r="G38" s="13"/>
      <c r="H38" s="14">
        <v>5.93</v>
      </c>
      <c r="I38" s="15">
        <v>153430</v>
      </c>
      <c r="J38" s="15"/>
      <c r="K38" s="15">
        <v>153430.109</v>
      </c>
      <c r="L38" s="15" t="s">
        <v>17</v>
      </c>
      <c r="M38" s="15">
        <v>51536.620999999999</v>
      </c>
      <c r="N38" s="15">
        <v>3702.8530000000001</v>
      </c>
      <c r="O38" s="13">
        <v>2.9769999999999999</v>
      </c>
      <c r="P38" s="13"/>
      <c r="Q38" s="16">
        <v>60</v>
      </c>
      <c r="R38" s="17">
        <v>5.0309999999999997</v>
      </c>
      <c r="S38" s="18">
        <f t="shared" si="0"/>
        <v>29.887199999999993</v>
      </c>
      <c r="T38" s="27">
        <f t="shared" si="1"/>
        <v>5940.6082289803207</v>
      </c>
      <c r="U38" s="18">
        <f>0.05*569.25</f>
        <v>28.462500000000002</v>
      </c>
      <c r="V38" s="21">
        <f>(S38-S32)*100/U38</f>
        <v>105.00553359683791</v>
      </c>
    </row>
    <row r="39" spans="1:23" x14ac:dyDescent="0.2">
      <c r="A39">
        <v>27</v>
      </c>
      <c r="B39" t="s">
        <v>96</v>
      </c>
      <c r="F39">
        <v>10.49</v>
      </c>
      <c r="H39" s="2">
        <v>4.32</v>
      </c>
      <c r="I39" s="3">
        <v>114364</v>
      </c>
      <c r="K39" s="3">
        <v>114364.461</v>
      </c>
      <c r="L39" s="3" t="s">
        <v>17</v>
      </c>
      <c r="M39" s="3">
        <v>38221.737999999998</v>
      </c>
      <c r="N39" s="3">
        <v>1387.002</v>
      </c>
      <c r="O39">
        <v>2.992</v>
      </c>
      <c r="Q39" s="7">
        <v>20</v>
      </c>
      <c r="R39" s="1">
        <v>4.9870000000000001</v>
      </c>
      <c r="S39" s="11">
        <f t="shared" si="0"/>
        <v>7.2576000000000009</v>
      </c>
      <c r="T39" s="28">
        <f t="shared" si="1"/>
        <v>1455.3037898536197</v>
      </c>
    </row>
    <row r="40" spans="1:23" x14ac:dyDescent="0.2">
      <c r="A40">
        <v>28</v>
      </c>
      <c r="B40" t="s">
        <v>97</v>
      </c>
      <c r="F40">
        <v>10.49</v>
      </c>
      <c r="H40" s="2">
        <v>6.72</v>
      </c>
      <c r="I40" s="3">
        <v>172579</v>
      </c>
      <c r="K40" s="3">
        <v>172578.90599999999</v>
      </c>
      <c r="L40" s="3" t="s">
        <v>17</v>
      </c>
      <c r="M40" s="3">
        <v>56210.773000000001</v>
      </c>
      <c r="N40" s="3">
        <v>4344.6379999999999</v>
      </c>
      <c r="O40">
        <v>3.07</v>
      </c>
      <c r="Q40" s="7">
        <v>20</v>
      </c>
      <c r="R40" s="1">
        <v>4.9539999999999997</v>
      </c>
      <c r="S40" s="11">
        <f t="shared" si="0"/>
        <v>11.2896</v>
      </c>
      <c r="T40" s="28">
        <f t="shared" si="1"/>
        <v>2278.8857488897861</v>
      </c>
    </row>
    <row r="41" spans="1:23" x14ac:dyDescent="0.2">
      <c r="A41">
        <v>29</v>
      </c>
      <c r="B41" t="s">
        <v>98</v>
      </c>
      <c r="F41">
        <v>10.49</v>
      </c>
      <c r="H41" s="2">
        <v>11.11</v>
      </c>
      <c r="I41" s="3">
        <v>278220</v>
      </c>
      <c r="K41" s="3">
        <v>278219.875</v>
      </c>
      <c r="L41" s="3" t="s">
        <v>17</v>
      </c>
      <c r="M41" s="3">
        <v>94621.672000000006</v>
      </c>
      <c r="N41" s="3">
        <v>4658.3159999999998</v>
      </c>
      <c r="O41">
        <v>2.94</v>
      </c>
      <c r="Q41" s="7">
        <v>20</v>
      </c>
      <c r="R41" s="1">
        <v>5.0216000000000003</v>
      </c>
      <c r="S41" s="11">
        <f t="shared" si="0"/>
        <v>18.6648</v>
      </c>
      <c r="T41" s="28">
        <f t="shared" si="1"/>
        <v>3716.9029791301573</v>
      </c>
    </row>
    <row r="42" spans="1:23" x14ac:dyDescent="0.2">
      <c r="A42">
        <v>30</v>
      </c>
      <c r="B42" t="s">
        <v>99</v>
      </c>
      <c r="F42">
        <v>10.49</v>
      </c>
      <c r="H42" s="2">
        <v>11.77</v>
      </c>
      <c r="I42" s="3">
        <v>294210</v>
      </c>
      <c r="K42" s="3">
        <v>294210.43800000002</v>
      </c>
      <c r="L42" s="3" t="s">
        <v>17</v>
      </c>
      <c r="M42" s="3">
        <v>99288.539000000004</v>
      </c>
      <c r="N42" s="3">
        <v>4929.5330000000004</v>
      </c>
      <c r="O42">
        <v>2.9630000000000001</v>
      </c>
      <c r="Q42" s="7">
        <v>20</v>
      </c>
      <c r="R42" s="1">
        <v>5.0906000000000002</v>
      </c>
      <c r="S42" s="11">
        <f t="shared" si="0"/>
        <v>19.773599999999998</v>
      </c>
      <c r="T42" s="28">
        <f t="shared" si="1"/>
        <v>3884.3358346756763</v>
      </c>
    </row>
    <row r="43" spans="1:23" x14ac:dyDescent="0.2">
      <c r="A43" s="13">
        <v>31</v>
      </c>
      <c r="B43" s="13" t="s">
        <v>100</v>
      </c>
      <c r="C43" s="13" t="s">
        <v>148</v>
      </c>
      <c r="D43" s="13"/>
      <c r="E43" s="13"/>
      <c r="F43" s="13">
        <v>10.49</v>
      </c>
      <c r="G43" s="13"/>
      <c r="H43" s="14">
        <v>18.7</v>
      </c>
      <c r="I43" s="15">
        <v>458944</v>
      </c>
      <c r="J43" s="15"/>
      <c r="K43" s="15">
        <v>458943.90600000002</v>
      </c>
      <c r="L43" s="15" t="s">
        <v>17</v>
      </c>
      <c r="M43" s="15">
        <v>153531.95300000001</v>
      </c>
      <c r="N43" s="15">
        <v>4813.8029999999999</v>
      </c>
      <c r="O43" s="13">
        <v>2.9889999999999999</v>
      </c>
      <c r="P43" s="13"/>
      <c r="Q43" s="16">
        <v>20</v>
      </c>
      <c r="R43" s="17">
        <v>5.0309999999999997</v>
      </c>
      <c r="S43" s="18">
        <f t="shared" si="0"/>
        <v>31.416000000000004</v>
      </c>
      <c r="T43" s="27">
        <f t="shared" si="1"/>
        <v>6244.4841979725716</v>
      </c>
      <c r="U43" s="18">
        <f>0.05*569.25</f>
        <v>28.462500000000002</v>
      </c>
      <c r="V43" s="21">
        <f>(S43-S31)*100/U43</f>
        <v>110.37681159420291</v>
      </c>
      <c r="W43" t="s">
        <v>126</v>
      </c>
    </row>
    <row r="44" spans="1:23" x14ac:dyDescent="0.2">
      <c r="A44" s="13">
        <v>32</v>
      </c>
      <c r="B44" s="13" t="s">
        <v>101</v>
      </c>
      <c r="C44" s="13" t="s">
        <v>148</v>
      </c>
      <c r="D44" s="13"/>
      <c r="E44" s="13"/>
      <c r="F44" s="13">
        <v>10.49</v>
      </c>
      <c r="G44" s="13"/>
      <c r="H44" s="14">
        <v>18.34</v>
      </c>
      <c r="I44" s="15">
        <v>450574</v>
      </c>
      <c r="J44" s="15"/>
      <c r="K44" s="15">
        <v>450573.78100000002</v>
      </c>
      <c r="L44" s="15" t="s">
        <v>17</v>
      </c>
      <c r="M44" s="15">
        <v>148063.04699999999</v>
      </c>
      <c r="N44" s="15">
        <v>3452.9059999999999</v>
      </c>
      <c r="O44" s="13">
        <v>3.0430000000000001</v>
      </c>
      <c r="P44" s="13"/>
      <c r="Q44" s="16">
        <v>20</v>
      </c>
      <c r="R44" s="17">
        <v>5.0309999999999997</v>
      </c>
      <c r="S44" s="18">
        <f t="shared" si="0"/>
        <v>30.811200000000003</v>
      </c>
      <c r="T44" s="27">
        <f t="shared" si="1"/>
        <v>6124.2695289206931</v>
      </c>
      <c r="U44" s="18">
        <f>0.05*569.25</f>
        <v>28.462500000000002</v>
      </c>
      <c r="V44" s="21">
        <f>(S43-S32)*100/U44</f>
        <v>110.37681159420291</v>
      </c>
    </row>
    <row r="45" spans="1:23" x14ac:dyDescent="0.2">
      <c r="A45">
        <v>33</v>
      </c>
      <c r="B45" t="s">
        <v>102</v>
      </c>
      <c r="F45">
        <v>10.49</v>
      </c>
      <c r="H45" s="2">
        <v>16.28</v>
      </c>
      <c r="I45" s="3">
        <v>401706</v>
      </c>
      <c r="K45" s="3">
        <v>401706.125</v>
      </c>
      <c r="L45" s="3" t="s">
        <v>17</v>
      </c>
      <c r="M45" s="3">
        <v>131607.53099999999</v>
      </c>
      <c r="N45" s="3">
        <v>4072.163</v>
      </c>
      <c r="O45">
        <v>3.052</v>
      </c>
      <c r="Q45" s="7">
        <v>20</v>
      </c>
      <c r="R45" s="1">
        <v>5.0460000000000003</v>
      </c>
      <c r="S45" s="11">
        <f t="shared" si="0"/>
        <v>27.3504</v>
      </c>
      <c r="T45" s="28">
        <f t="shared" si="1"/>
        <v>5420.2140309155766</v>
      </c>
    </row>
    <row r="46" spans="1:23" x14ac:dyDescent="0.2">
      <c r="A46">
        <v>34</v>
      </c>
      <c r="B46" t="s">
        <v>103</v>
      </c>
      <c r="F46">
        <v>10.49</v>
      </c>
      <c r="H46" s="2">
        <v>16.48</v>
      </c>
      <c r="I46" s="3">
        <v>406495</v>
      </c>
      <c r="K46" s="3">
        <v>406495.43800000002</v>
      </c>
      <c r="L46" s="3" t="s">
        <v>17</v>
      </c>
      <c r="M46" s="3">
        <v>137471.484</v>
      </c>
      <c r="N46" s="3">
        <v>2702.9879999999998</v>
      </c>
      <c r="O46">
        <v>2.9569999999999999</v>
      </c>
      <c r="Q46" s="7">
        <v>20</v>
      </c>
      <c r="R46" s="1">
        <v>5.0867000000000004</v>
      </c>
      <c r="S46" s="11">
        <f t="shared" si="0"/>
        <v>27.686400000000003</v>
      </c>
      <c r="T46" s="28">
        <f t="shared" si="1"/>
        <v>5442.9001120569328</v>
      </c>
    </row>
    <row r="47" spans="1:23" x14ac:dyDescent="0.2">
      <c r="A47">
        <v>35</v>
      </c>
      <c r="B47" t="s">
        <v>104</v>
      </c>
      <c r="F47">
        <v>10.49</v>
      </c>
      <c r="H47" s="2">
        <v>20.9</v>
      </c>
      <c r="I47" s="3">
        <v>510881</v>
      </c>
      <c r="K47" s="3">
        <v>510881.31300000002</v>
      </c>
      <c r="L47" s="3" t="s">
        <v>17</v>
      </c>
      <c r="M47" s="3">
        <v>167813.32800000001</v>
      </c>
      <c r="N47" s="3">
        <v>2958.665</v>
      </c>
      <c r="O47">
        <v>3.044</v>
      </c>
      <c r="Q47" s="7">
        <v>20</v>
      </c>
      <c r="R47" s="1">
        <v>4.9630000000000001</v>
      </c>
      <c r="S47" s="11">
        <f t="shared" si="0"/>
        <v>35.111999999999995</v>
      </c>
      <c r="T47" s="28">
        <f t="shared" si="1"/>
        <v>7074.7531734837785</v>
      </c>
    </row>
    <row r="48" spans="1:23" x14ac:dyDescent="0.2">
      <c r="A48">
        <v>36</v>
      </c>
      <c r="B48" t="s">
        <v>105</v>
      </c>
      <c r="F48">
        <v>10.49</v>
      </c>
      <c r="H48" s="2">
        <v>21.88</v>
      </c>
      <c r="I48" s="3">
        <v>533881</v>
      </c>
      <c r="K48" s="3">
        <v>533880.5</v>
      </c>
      <c r="L48" s="3" t="s">
        <v>17</v>
      </c>
      <c r="M48" s="3">
        <v>185411.28099999999</v>
      </c>
      <c r="N48" s="3">
        <v>3622.0160000000001</v>
      </c>
      <c r="O48">
        <v>2.879</v>
      </c>
      <c r="Q48" s="7">
        <v>20</v>
      </c>
      <c r="R48" s="1">
        <v>5.0391000000000004</v>
      </c>
      <c r="S48" s="11">
        <f t="shared" si="0"/>
        <v>36.758399999999995</v>
      </c>
      <c r="T48" s="28">
        <f t="shared" si="1"/>
        <v>7294.6359468952769</v>
      </c>
    </row>
    <row r="49" spans="1:20" x14ac:dyDescent="0.2">
      <c r="A49">
        <v>37</v>
      </c>
      <c r="B49" t="s">
        <v>106</v>
      </c>
      <c r="F49">
        <v>10.49</v>
      </c>
      <c r="H49" s="2">
        <v>36.26</v>
      </c>
      <c r="I49" s="3">
        <v>866201</v>
      </c>
      <c r="K49" s="3">
        <v>866201.31299999997</v>
      </c>
      <c r="L49" s="3" t="s">
        <v>17</v>
      </c>
      <c r="M49" s="3">
        <v>293690.875</v>
      </c>
      <c r="N49" s="3">
        <v>2551.384</v>
      </c>
      <c r="O49">
        <v>2.9489999999999998</v>
      </c>
      <c r="Q49" s="7">
        <v>60</v>
      </c>
      <c r="R49" s="1">
        <v>5.0975999999999999</v>
      </c>
      <c r="S49" s="11">
        <f t="shared" si="0"/>
        <v>182.75039999999998</v>
      </c>
      <c r="T49" s="28">
        <f t="shared" si="1"/>
        <v>35850.282485875709</v>
      </c>
    </row>
    <row r="50" spans="1:20" x14ac:dyDescent="0.2">
      <c r="A50">
        <v>38</v>
      </c>
      <c r="B50" t="s">
        <v>107</v>
      </c>
      <c r="F50">
        <v>10.48</v>
      </c>
      <c r="H50" s="2">
        <v>35.340000000000003</v>
      </c>
      <c r="I50" s="3">
        <v>845245</v>
      </c>
      <c r="K50" s="3">
        <v>845244.875</v>
      </c>
      <c r="L50" s="3" t="s">
        <v>17</v>
      </c>
      <c r="M50" s="3">
        <v>277310.34399999998</v>
      </c>
      <c r="N50" s="3">
        <v>5863.3389999999999</v>
      </c>
      <c r="O50">
        <v>3.048</v>
      </c>
      <c r="Q50" s="7">
        <v>60</v>
      </c>
      <c r="R50" s="1">
        <v>4.9290000000000003</v>
      </c>
      <c r="S50" s="11">
        <f t="shared" si="0"/>
        <v>178.11360000000002</v>
      </c>
      <c r="T50" s="28">
        <f t="shared" si="1"/>
        <v>36135.849056603773</v>
      </c>
    </row>
    <row r="51" spans="1:20" x14ac:dyDescent="0.2">
      <c r="A51">
        <v>39</v>
      </c>
      <c r="B51" t="s">
        <v>108</v>
      </c>
      <c r="F51">
        <v>10.49</v>
      </c>
      <c r="H51" s="2">
        <v>63.8</v>
      </c>
      <c r="I51" s="3">
        <v>1474944</v>
      </c>
      <c r="K51" s="3">
        <v>1474943.5</v>
      </c>
      <c r="L51" s="3" t="s">
        <v>17</v>
      </c>
      <c r="M51" s="3">
        <v>487914.25</v>
      </c>
      <c r="N51" s="3">
        <v>4239.3339999999998</v>
      </c>
      <c r="O51">
        <v>3.0230000000000001</v>
      </c>
      <c r="Q51" s="7">
        <v>60</v>
      </c>
      <c r="R51" s="1">
        <v>4.992</v>
      </c>
      <c r="S51" s="11">
        <f t="shared" si="0"/>
        <v>321.55199999999996</v>
      </c>
      <c r="T51" s="28">
        <f t="shared" si="1"/>
        <v>64413.461538461524</v>
      </c>
    </row>
    <row r="52" spans="1:20" x14ac:dyDescent="0.2">
      <c r="A52">
        <v>40</v>
      </c>
      <c r="B52" t="s">
        <v>109</v>
      </c>
      <c r="F52">
        <v>10.49</v>
      </c>
      <c r="H52" s="2">
        <v>67.87</v>
      </c>
      <c r="I52" s="3">
        <v>1561753</v>
      </c>
      <c r="K52" s="3">
        <v>1561752.75</v>
      </c>
      <c r="L52" s="3" t="s">
        <v>17</v>
      </c>
      <c r="M52" s="3">
        <v>501868.81300000002</v>
      </c>
      <c r="N52" s="3">
        <v>3590.598</v>
      </c>
      <c r="O52">
        <v>3.1120000000000001</v>
      </c>
      <c r="Q52" s="7">
        <v>60</v>
      </c>
      <c r="R52" s="1">
        <v>5.0566000000000004</v>
      </c>
      <c r="S52" s="11">
        <f t="shared" si="0"/>
        <v>342.06480000000005</v>
      </c>
      <c r="T52" s="28">
        <f t="shared" si="1"/>
        <v>67647.193766562516</v>
      </c>
    </row>
    <row r="53" spans="1:20" x14ac:dyDescent="0.2">
      <c r="A53">
        <v>41</v>
      </c>
      <c r="B53" t="s">
        <v>110</v>
      </c>
      <c r="F53">
        <v>10.49</v>
      </c>
      <c r="H53" s="2">
        <v>90.53</v>
      </c>
      <c r="I53" s="3">
        <v>2030605</v>
      </c>
      <c r="K53" s="3">
        <v>2030604.5</v>
      </c>
      <c r="L53" s="3" t="s">
        <v>17</v>
      </c>
      <c r="M53" s="3">
        <v>664016</v>
      </c>
      <c r="N53" s="3">
        <v>4283.63</v>
      </c>
      <c r="O53">
        <v>3.0579999999999998</v>
      </c>
      <c r="Q53" s="7">
        <v>60</v>
      </c>
      <c r="R53" s="1">
        <v>4.9340000000000002</v>
      </c>
      <c r="S53" s="11">
        <f t="shared" si="0"/>
        <v>456.27120000000002</v>
      </c>
      <c r="T53" s="28">
        <f t="shared" si="1"/>
        <v>92474.908796108633</v>
      </c>
    </row>
    <row r="54" spans="1:20" x14ac:dyDescent="0.2">
      <c r="A54">
        <v>42</v>
      </c>
      <c r="B54" t="s">
        <v>111</v>
      </c>
      <c r="F54">
        <v>10.49</v>
      </c>
      <c r="H54" s="2">
        <v>112.71</v>
      </c>
      <c r="I54" s="3">
        <v>2465468</v>
      </c>
      <c r="K54" s="3">
        <v>2465468</v>
      </c>
      <c r="L54" s="3" t="s">
        <v>17</v>
      </c>
      <c r="M54" s="3">
        <v>827255.125</v>
      </c>
      <c r="N54" s="3">
        <v>4257.2610000000004</v>
      </c>
      <c r="O54">
        <v>2.98</v>
      </c>
      <c r="Q54" s="7">
        <v>60</v>
      </c>
      <c r="R54" s="1">
        <v>5.0629999999999997</v>
      </c>
      <c r="S54" s="11">
        <f t="shared" si="0"/>
        <v>568.05839999999989</v>
      </c>
      <c r="T54" s="28">
        <f t="shared" si="1"/>
        <v>112197.98538415958</v>
      </c>
    </row>
    <row r="55" spans="1:20" x14ac:dyDescent="0.2">
      <c r="A55">
        <v>43</v>
      </c>
      <c r="B55" t="s">
        <v>112</v>
      </c>
      <c r="F55">
        <v>10.49</v>
      </c>
      <c r="H55" s="2">
        <v>126.22</v>
      </c>
      <c r="I55" s="3">
        <v>2718751</v>
      </c>
      <c r="K55" s="3">
        <v>2718751</v>
      </c>
      <c r="L55" s="3" t="s">
        <v>17</v>
      </c>
      <c r="M55" s="3">
        <v>923209.81299999997</v>
      </c>
      <c r="N55" s="3">
        <v>3310.808</v>
      </c>
      <c r="O55">
        <v>2.9449999999999998</v>
      </c>
      <c r="Q55" s="7">
        <v>60</v>
      </c>
      <c r="R55" s="1">
        <v>4.9804000000000004</v>
      </c>
      <c r="S55" s="11">
        <f t="shared" si="0"/>
        <v>636.14879999999994</v>
      </c>
      <c r="T55" s="28">
        <f t="shared" si="1"/>
        <v>127730.46341659302</v>
      </c>
    </row>
    <row r="56" spans="1:20" x14ac:dyDescent="0.2">
      <c r="A56">
        <v>44</v>
      </c>
      <c r="B56" t="s">
        <v>113</v>
      </c>
      <c r="F56">
        <v>10.49</v>
      </c>
      <c r="H56" s="2">
        <v>126.08</v>
      </c>
      <c r="I56" s="3">
        <v>2716101</v>
      </c>
      <c r="K56" s="3">
        <v>2716101.25</v>
      </c>
      <c r="L56" s="3" t="s">
        <v>17</v>
      </c>
      <c r="M56" s="3">
        <v>904255.75</v>
      </c>
      <c r="N56" s="3">
        <v>2594.1080000000002</v>
      </c>
      <c r="O56">
        <v>3.004</v>
      </c>
      <c r="Q56" s="7">
        <v>60</v>
      </c>
      <c r="R56" s="1">
        <v>5.0620000000000003</v>
      </c>
      <c r="S56" s="11">
        <f t="shared" si="0"/>
        <v>635.44319999999993</v>
      </c>
      <c r="T56" s="28">
        <f t="shared" si="1"/>
        <v>125532.04267088106</v>
      </c>
    </row>
    <row r="57" spans="1:20" x14ac:dyDescent="0.2">
      <c r="A57">
        <v>45</v>
      </c>
      <c r="B57" t="s">
        <v>114</v>
      </c>
      <c r="F57">
        <v>10.49</v>
      </c>
      <c r="I57" s="3">
        <v>4264</v>
      </c>
      <c r="K57" s="3">
        <v>4264.2539999999999</v>
      </c>
      <c r="L57" s="3" t="s">
        <v>34</v>
      </c>
      <c r="M57" s="3">
        <v>1249.4079999999999</v>
      </c>
      <c r="N57" s="3">
        <v>250.09</v>
      </c>
      <c r="O57">
        <v>3.4129999999999998</v>
      </c>
      <c r="Q57" s="7"/>
    </row>
    <row r="58" spans="1:20" x14ac:dyDescent="0.2">
      <c r="A58">
        <v>46</v>
      </c>
      <c r="B58" t="s">
        <v>115</v>
      </c>
      <c r="F58">
        <v>10.49</v>
      </c>
      <c r="I58" s="3">
        <v>1377</v>
      </c>
      <c r="K58" s="3">
        <v>1377.0509999999999</v>
      </c>
      <c r="L58" s="3" t="s">
        <v>34</v>
      </c>
      <c r="M58" s="3">
        <v>452.31599999999997</v>
      </c>
      <c r="N58" s="3">
        <v>132.61000000000001</v>
      </c>
      <c r="O58">
        <v>3.044</v>
      </c>
      <c r="Q58" s="7"/>
    </row>
    <row r="59" spans="1:20" x14ac:dyDescent="0.2">
      <c r="A59">
        <v>47</v>
      </c>
      <c r="B59" t="s">
        <v>116</v>
      </c>
      <c r="F59">
        <v>10.49</v>
      </c>
      <c r="I59" s="3">
        <v>804</v>
      </c>
      <c r="K59" s="3">
        <v>803.69299999999998</v>
      </c>
      <c r="L59" s="3" t="s">
        <v>34</v>
      </c>
      <c r="M59" s="3">
        <v>262.49299999999999</v>
      </c>
      <c r="N59" s="3">
        <v>67.453000000000003</v>
      </c>
      <c r="O59">
        <v>3.0619999999999998</v>
      </c>
    </row>
    <row r="60" spans="1:20" x14ac:dyDescent="0.2">
      <c r="A60">
        <v>48</v>
      </c>
      <c r="B60" t="s">
        <v>117</v>
      </c>
      <c r="F60">
        <v>10.49</v>
      </c>
      <c r="I60" s="3">
        <v>317</v>
      </c>
      <c r="K60" s="3">
        <v>316.56400000000002</v>
      </c>
      <c r="L60" s="3" t="s">
        <v>34</v>
      </c>
      <c r="M60" s="3">
        <v>77.265000000000001</v>
      </c>
      <c r="N60" s="3">
        <v>50.988</v>
      </c>
      <c r="O60">
        <v>4.0970000000000004</v>
      </c>
    </row>
    <row r="61" spans="1:20" x14ac:dyDescent="0.2">
      <c r="A61">
        <v>53</v>
      </c>
      <c r="B61" t="s">
        <v>33</v>
      </c>
      <c r="F61">
        <v>10.49</v>
      </c>
      <c r="I61" s="3">
        <v>7258</v>
      </c>
      <c r="K61" s="3">
        <v>7257.9390000000003</v>
      </c>
      <c r="L61" s="3" t="s">
        <v>34</v>
      </c>
      <c r="M61" s="3">
        <v>2405.7199999999998</v>
      </c>
      <c r="N61" s="3">
        <v>582.18100000000004</v>
      </c>
      <c r="O61">
        <v>3.0169999999999999</v>
      </c>
    </row>
    <row r="62" spans="1:20" x14ac:dyDescent="0.2">
      <c r="A62">
        <v>54</v>
      </c>
      <c r="B62" t="s">
        <v>35</v>
      </c>
      <c r="F62">
        <v>10.49</v>
      </c>
      <c r="I62" s="3">
        <v>1431</v>
      </c>
      <c r="K62" s="3">
        <v>1431.15</v>
      </c>
      <c r="L62" s="3" t="s">
        <v>34</v>
      </c>
      <c r="M62" s="3">
        <v>465.49200000000002</v>
      </c>
      <c r="N62" s="3">
        <v>145.089</v>
      </c>
      <c r="O62">
        <v>3.0750000000000002</v>
      </c>
    </row>
    <row r="63" spans="1:20" x14ac:dyDescent="0.2">
      <c r="A63">
        <v>55</v>
      </c>
      <c r="B63" t="s">
        <v>36</v>
      </c>
      <c r="F63">
        <v>10.49</v>
      </c>
      <c r="I63" s="3">
        <v>408</v>
      </c>
      <c r="K63" s="3">
        <v>407.54199999999997</v>
      </c>
      <c r="L63" s="3" t="s">
        <v>34</v>
      </c>
      <c r="M63" s="3">
        <v>147.45400000000001</v>
      </c>
      <c r="N63" s="3">
        <v>36.661999999999999</v>
      </c>
      <c r="O63">
        <v>2.7639999999999998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6"/>
  <sheetViews>
    <sheetView topLeftCell="A7" workbookViewId="0">
      <selection activeCell="U35" sqref="U35"/>
    </sheetView>
  </sheetViews>
  <sheetFormatPr baseColWidth="10" defaultRowHeight="15" x14ac:dyDescent="0.2"/>
  <cols>
    <col min="1" max="1" width="3.83203125" customWidth="1"/>
    <col min="2" max="2" width="23.1640625" bestFit="1" customWidth="1"/>
    <col min="3" max="3" width="8.1640625" customWidth="1"/>
    <col min="4" max="4" width="8.5" customWidth="1"/>
    <col min="5" max="5" width="7.83203125" customWidth="1"/>
    <col min="6" max="6" width="4.6640625" customWidth="1"/>
    <col min="7" max="7" width="6.83203125" customWidth="1"/>
    <col min="8" max="8" width="10.83203125" style="2"/>
    <col min="9" max="13" width="10.83203125" style="3"/>
    <col min="14" max="14" width="6.6640625" style="3" customWidth="1"/>
    <col min="15" max="15" width="8.83203125" customWidth="1"/>
    <col min="16" max="16" width="2.6640625" customWidth="1"/>
    <col min="17" max="17" width="17.5" customWidth="1"/>
    <col min="18" max="18" width="19.6640625" customWidth="1"/>
    <col min="19" max="19" width="10.83203125" style="11"/>
    <col min="20" max="20" width="11.83203125" style="11" customWidth="1"/>
    <col min="21" max="21" width="19.6640625" bestFit="1" customWidth="1"/>
    <col min="23" max="23" width="13.6640625" bestFit="1" customWidth="1"/>
  </cols>
  <sheetData>
    <row r="1" spans="1:15" x14ac:dyDescent="0.2">
      <c r="A1" t="s">
        <v>0</v>
      </c>
    </row>
    <row r="3" spans="1:15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t="s">
        <v>14</v>
      </c>
    </row>
    <row r="4" spans="1:15" x14ac:dyDescent="0.2">
      <c r="A4">
        <v>1</v>
      </c>
      <c r="B4" t="s">
        <v>15</v>
      </c>
      <c r="D4" t="s">
        <v>16</v>
      </c>
      <c r="E4">
        <v>0.499</v>
      </c>
      <c r="F4">
        <v>6.23</v>
      </c>
      <c r="G4">
        <v>1.6</v>
      </c>
      <c r="H4" s="2">
        <v>0.51</v>
      </c>
      <c r="I4" s="3">
        <v>1565</v>
      </c>
      <c r="K4" s="3">
        <v>1565.1010000000001</v>
      </c>
      <c r="L4" s="3" t="s">
        <v>17</v>
      </c>
      <c r="M4" s="3">
        <v>1453.7360000000001</v>
      </c>
      <c r="N4" s="3">
        <v>185.23</v>
      </c>
      <c r="O4">
        <v>1.077</v>
      </c>
    </row>
    <row r="5" spans="1:15" x14ac:dyDescent="0.2">
      <c r="A5">
        <v>2</v>
      </c>
      <c r="B5" t="s">
        <v>18</v>
      </c>
      <c r="D5" t="s">
        <v>16</v>
      </c>
      <c r="E5">
        <v>2.2999999999999998</v>
      </c>
      <c r="F5">
        <v>6.23</v>
      </c>
      <c r="G5">
        <v>26.7</v>
      </c>
      <c r="H5" s="2">
        <v>2.91</v>
      </c>
      <c r="I5" s="3">
        <v>6587</v>
      </c>
      <c r="K5" s="3">
        <v>6587.1809999999996</v>
      </c>
      <c r="L5" s="3" t="s">
        <v>17</v>
      </c>
      <c r="M5" s="3">
        <v>6094.8549999999996</v>
      </c>
      <c r="N5" s="3">
        <v>1014.385</v>
      </c>
      <c r="O5">
        <v>1.081</v>
      </c>
    </row>
    <row r="6" spans="1:15" x14ac:dyDescent="0.2">
      <c r="A6">
        <v>3</v>
      </c>
      <c r="B6" t="s">
        <v>19</v>
      </c>
      <c r="D6" t="s">
        <v>16</v>
      </c>
      <c r="E6">
        <v>26.6</v>
      </c>
      <c r="F6">
        <v>6.23</v>
      </c>
      <c r="G6">
        <v>3.2</v>
      </c>
      <c r="H6" s="2">
        <v>27.44</v>
      </c>
      <c r="I6" s="3">
        <v>54706</v>
      </c>
      <c r="K6" s="3">
        <v>54706.016000000003</v>
      </c>
      <c r="L6" s="3" t="s">
        <v>17</v>
      </c>
      <c r="M6" s="3">
        <v>51796.805</v>
      </c>
      <c r="N6" s="3">
        <v>3246.873</v>
      </c>
      <c r="O6">
        <v>1.056</v>
      </c>
    </row>
    <row r="7" spans="1:15" x14ac:dyDescent="0.2">
      <c r="A7" s="4">
        <v>4</v>
      </c>
      <c r="B7" s="4" t="s">
        <v>20</v>
      </c>
      <c r="C7" s="4"/>
      <c r="D7" s="4" t="s">
        <v>16</v>
      </c>
      <c r="E7" s="4">
        <v>255.7</v>
      </c>
      <c r="F7" s="4">
        <v>6.23</v>
      </c>
      <c r="G7" s="4">
        <v>-100</v>
      </c>
      <c r="H7" s="5"/>
      <c r="I7" s="6">
        <v>343652</v>
      </c>
      <c r="J7" s="6"/>
      <c r="K7" s="6">
        <v>343652</v>
      </c>
      <c r="L7" s="6" t="s">
        <v>21</v>
      </c>
      <c r="M7" s="6">
        <v>332459.21899999998</v>
      </c>
      <c r="N7" s="6">
        <v>9067.7729999999992</v>
      </c>
      <c r="O7" s="4">
        <v>1.034</v>
      </c>
    </row>
    <row r="8" spans="1:15" x14ac:dyDescent="0.2">
      <c r="A8" s="4">
        <v>8</v>
      </c>
      <c r="B8" s="4" t="s">
        <v>22</v>
      </c>
      <c r="C8" s="4"/>
      <c r="D8" s="4" t="s">
        <v>16</v>
      </c>
      <c r="E8" s="4">
        <v>4.2000000000000003E-2</v>
      </c>
      <c r="F8" s="4">
        <v>6.23</v>
      </c>
      <c r="G8" s="4">
        <v>-100</v>
      </c>
      <c r="H8" s="5"/>
      <c r="I8" s="6">
        <v>290</v>
      </c>
      <c r="J8" s="6"/>
      <c r="K8" s="6">
        <v>289.851</v>
      </c>
      <c r="L8" s="6" t="s">
        <v>21</v>
      </c>
      <c r="M8" s="6">
        <v>273.5</v>
      </c>
      <c r="N8" s="6">
        <v>29.14</v>
      </c>
      <c r="O8" s="4">
        <v>1.06</v>
      </c>
    </row>
    <row r="9" spans="1:15" x14ac:dyDescent="0.2">
      <c r="A9">
        <v>38</v>
      </c>
      <c r="B9" t="s">
        <v>23</v>
      </c>
      <c r="D9" t="s">
        <v>16</v>
      </c>
      <c r="E9">
        <v>0.26600000000000001</v>
      </c>
      <c r="F9">
        <v>6.23</v>
      </c>
      <c r="G9">
        <v>-25.4</v>
      </c>
      <c r="H9" s="2">
        <v>0.2</v>
      </c>
      <c r="I9" s="3">
        <v>918</v>
      </c>
      <c r="K9" s="3">
        <v>917.70299999999997</v>
      </c>
      <c r="L9" s="3" t="s">
        <v>17</v>
      </c>
      <c r="M9" s="3">
        <v>793.41700000000003</v>
      </c>
      <c r="N9" s="3">
        <v>47.481000000000002</v>
      </c>
      <c r="O9">
        <v>1.157</v>
      </c>
    </row>
    <row r="10" spans="1:15" x14ac:dyDescent="0.2">
      <c r="A10">
        <v>39</v>
      </c>
      <c r="B10" t="s">
        <v>24</v>
      </c>
      <c r="D10" t="s">
        <v>16</v>
      </c>
      <c r="E10">
        <v>0.26600000000000001</v>
      </c>
      <c r="F10">
        <v>6.23</v>
      </c>
      <c r="G10">
        <v>-31.8</v>
      </c>
      <c r="H10" s="2">
        <v>0.18</v>
      </c>
      <c r="I10" s="3">
        <v>882</v>
      </c>
      <c r="K10" s="3">
        <v>881.81899999999996</v>
      </c>
      <c r="L10" s="3" t="s">
        <v>17</v>
      </c>
      <c r="M10" s="3">
        <v>834.94</v>
      </c>
      <c r="N10" s="3">
        <v>73.582999999999998</v>
      </c>
      <c r="O10">
        <v>1.056</v>
      </c>
    </row>
    <row r="11" spans="1:15" x14ac:dyDescent="0.2">
      <c r="A11">
        <v>40</v>
      </c>
      <c r="B11" t="s">
        <v>25</v>
      </c>
      <c r="D11" t="s">
        <v>16</v>
      </c>
      <c r="E11">
        <v>0.499</v>
      </c>
      <c r="F11">
        <v>6.23</v>
      </c>
      <c r="G11">
        <v>-9.4</v>
      </c>
      <c r="H11" s="2">
        <v>0.45</v>
      </c>
      <c r="I11" s="3">
        <v>1450</v>
      </c>
      <c r="K11" s="3">
        <v>1450.1020000000001</v>
      </c>
      <c r="L11" s="3" t="s">
        <v>17</v>
      </c>
      <c r="M11" s="3">
        <v>1329.3889999999999</v>
      </c>
      <c r="N11" s="3">
        <v>170.40899999999999</v>
      </c>
      <c r="O11">
        <v>1.091</v>
      </c>
    </row>
    <row r="12" spans="1:15" x14ac:dyDescent="0.2">
      <c r="A12">
        <v>41</v>
      </c>
      <c r="B12" t="s">
        <v>26</v>
      </c>
      <c r="D12" t="s">
        <v>16</v>
      </c>
      <c r="E12">
        <v>0.499</v>
      </c>
      <c r="F12">
        <v>6.23</v>
      </c>
      <c r="G12">
        <v>4.8</v>
      </c>
      <c r="H12" s="2">
        <v>0.52</v>
      </c>
      <c r="I12" s="3">
        <v>1599</v>
      </c>
      <c r="K12" s="3">
        <v>1598.7180000000001</v>
      </c>
      <c r="L12" s="3" t="s">
        <v>17</v>
      </c>
      <c r="M12" s="3">
        <v>1361.2139999999999</v>
      </c>
      <c r="N12" s="3">
        <v>180.22399999999999</v>
      </c>
      <c r="O12">
        <v>1.1739999999999999</v>
      </c>
    </row>
    <row r="13" spans="1:15" x14ac:dyDescent="0.2">
      <c r="A13">
        <v>42</v>
      </c>
      <c r="B13" t="s">
        <v>27</v>
      </c>
      <c r="D13" t="s">
        <v>16</v>
      </c>
      <c r="E13">
        <v>1</v>
      </c>
      <c r="F13">
        <v>6.23</v>
      </c>
      <c r="G13">
        <v>10.6</v>
      </c>
      <c r="H13" s="2">
        <v>1.1100000000000001</v>
      </c>
      <c r="I13" s="3">
        <v>2820</v>
      </c>
      <c r="K13" s="3">
        <v>2820.4960000000001</v>
      </c>
      <c r="L13" s="3" t="s">
        <v>17</v>
      </c>
      <c r="M13" s="3">
        <v>2582.2759999999998</v>
      </c>
      <c r="N13" s="3">
        <v>362.65100000000001</v>
      </c>
      <c r="O13">
        <v>1.0920000000000001</v>
      </c>
    </row>
    <row r="14" spans="1:15" x14ac:dyDescent="0.2">
      <c r="A14">
        <v>43</v>
      </c>
      <c r="B14" t="s">
        <v>28</v>
      </c>
      <c r="D14" t="s">
        <v>16</v>
      </c>
      <c r="E14">
        <v>2.2999999999999998</v>
      </c>
      <c r="F14">
        <v>6.23</v>
      </c>
      <c r="G14">
        <v>16.399999999999999</v>
      </c>
      <c r="H14" s="2">
        <v>2.68</v>
      </c>
      <c r="I14" s="3">
        <v>6097</v>
      </c>
      <c r="K14" s="3">
        <v>6096.7370000000001</v>
      </c>
      <c r="L14" s="3" t="s">
        <v>17</v>
      </c>
      <c r="M14" s="3">
        <v>5775.0479999999998</v>
      </c>
      <c r="N14" s="3">
        <v>702.15300000000002</v>
      </c>
      <c r="O14">
        <v>1.056</v>
      </c>
    </row>
    <row r="15" spans="1:15" x14ac:dyDescent="0.2">
      <c r="A15">
        <v>44</v>
      </c>
      <c r="B15" t="s">
        <v>29</v>
      </c>
      <c r="D15" t="s">
        <v>16</v>
      </c>
      <c r="E15">
        <v>5.3</v>
      </c>
      <c r="F15">
        <v>6.23</v>
      </c>
      <c r="G15">
        <v>15.5</v>
      </c>
      <c r="H15" s="2">
        <v>6.12</v>
      </c>
      <c r="I15" s="3">
        <v>13193</v>
      </c>
      <c r="K15" s="3">
        <v>13193.373</v>
      </c>
      <c r="L15" s="3" t="s">
        <v>17</v>
      </c>
      <c r="M15" s="3">
        <v>12204.813</v>
      </c>
      <c r="N15" s="3">
        <v>1225.1300000000001</v>
      </c>
      <c r="O15">
        <v>1.081</v>
      </c>
    </row>
    <row r="16" spans="1:15" x14ac:dyDescent="0.2">
      <c r="A16">
        <v>45</v>
      </c>
      <c r="B16" t="s">
        <v>30</v>
      </c>
      <c r="D16" t="s">
        <v>16</v>
      </c>
      <c r="E16">
        <v>26.6</v>
      </c>
      <c r="F16">
        <v>6.23</v>
      </c>
      <c r="G16">
        <v>-12.6</v>
      </c>
      <c r="H16" s="2">
        <v>23.26</v>
      </c>
      <c r="I16" s="3">
        <v>46894</v>
      </c>
      <c r="K16" s="3">
        <v>46893.737999999998</v>
      </c>
      <c r="L16" s="3" t="s">
        <v>17</v>
      </c>
      <c r="M16" s="3">
        <v>44241.91</v>
      </c>
      <c r="N16" s="3">
        <v>4923.0190000000002</v>
      </c>
      <c r="O16">
        <v>1.06</v>
      </c>
    </row>
    <row r="17" spans="1:23" x14ac:dyDescent="0.2">
      <c r="A17">
        <v>46</v>
      </c>
      <c r="B17" t="s">
        <v>31</v>
      </c>
      <c r="D17" t="s">
        <v>16</v>
      </c>
      <c r="E17">
        <v>102.3</v>
      </c>
      <c r="F17">
        <v>6.23</v>
      </c>
      <c r="G17">
        <v>0.9</v>
      </c>
      <c r="H17" s="2">
        <v>103.25</v>
      </c>
      <c r="I17" s="3">
        <v>168055</v>
      </c>
      <c r="K17" s="3">
        <v>168054.68799999999</v>
      </c>
      <c r="L17" s="3" t="s">
        <v>17</v>
      </c>
      <c r="M17" s="3">
        <v>155194.43799999999</v>
      </c>
      <c r="N17" s="3">
        <v>7573.2370000000001</v>
      </c>
      <c r="O17">
        <v>1.083</v>
      </c>
    </row>
    <row r="18" spans="1:23" x14ac:dyDescent="0.2">
      <c r="A18" s="4">
        <v>47</v>
      </c>
      <c r="B18" s="4" t="s">
        <v>32</v>
      </c>
      <c r="C18" s="4"/>
      <c r="D18" s="4" t="s">
        <v>16</v>
      </c>
      <c r="E18" s="4">
        <v>255.7</v>
      </c>
      <c r="F18" s="4">
        <v>6.23</v>
      </c>
      <c r="G18" s="4">
        <v>-100</v>
      </c>
      <c r="H18" s="5"/>
      <c r="I18" s="6">
        <v>345389</v>
      </c>
      <c r="J18" s="6"/>
      <c r="K18" s="6">
        <v>345389.21899999998</v>
      </c>
      <c r="L18" s="6" t="s">
        <v>21</v>
      </c>
      <c r="M18" s="6">
        <v>327638.28100000002</v>
      </c>
      <c r="N18" s="6">
        <v>966.58199999999999</v>
      </c>
      <c r="O18" s="4">
        <v>1.054</v>
      </c>
    </row>
    <row r="19" spans="1:23" x14ac:dyDescent="0.2">
      <c r="A19">
        <v>5</v>
      </c>
      <c r="B19" t="s">
        <v>33</v>
      </c>
      <c r="F19">
        <v>6.23</v>
      </c>
      <c r="I19" s="3">
        <v>448</v>
      </c>
      <c r="K19" s="3">
        <v>448.32799999999997</v>
      </c>
      <c r="L19" s="3" t="s">
        <v>34</v>
      </c>
      <c r="M19" s="3">
        <v>442.762</v>
      </c>
      <c r="N19" s="3">
        <v>43.835999999999999</v>
      </c>
      <c r="O19">
        <v>1.0129999999999999</v>
      </c>
    </row>
    <row r="20" spans="1:23" x14ac:dyDescent="0.2">
      <c r="A20">
        <v>6</v>
      </c>
      <c r="B20" t="s">
        <v>35</v>
      </c>
      <c r="F20">
        <v>6.23</v>
      </c>
      <c r="I20" s="3">
        <v>200</v>
      </c>
      <c r="K20" s="3">
        <v>200.435</v>
      </c>
      <c r="L20" s="3" t="s">
        <v>34</v>
      </c>
      <c r="M20" s="3">
        <v>149.06399999999999</v>
      </c>
      <c r="N20" s="3">
        <v>28.552</v>
      </c>
      <c r="O20">
        <v>1.345</v>
      </c>
    </row>
    <row r="21" spans="1:23" x14ac:dyDescent="0.2">
      <c r="A21">
        <v>7</v>
      </c>
      <c r="B21" t="s">
        <v>36</v>
      </c>
    </row>
    <row r="22" spans="1:23" ht="32" x14ac:dyDescent="0.2">
      <c r="A22">
        <v>9</v>
      </c>
      <c r="B22" t="s">
        <v>37</v>
      </c>
      <c r="Q22" s="1" t="s">
        <v>121</v>
      </c>
      <c r="R22" s="10" t="s">
        <v>124</v>
      </c>
      <c r="S22" s="11" t="s">
        <v>122</v>
      </c>
      <c r="T22" s="39" t="s">
        <v>130</v>
      </c>
      <c r="U22" t="s">
        <v>123</v>
      </c>
      <c r="V22" s="1" t="s">
        <v>125</v>
      </c>
      <c r="W22" t="s">
        <v>129</v>
      </c>
    </row>
    <row r="23" spans="1:23" x14ac:dyDescent="0.2">
      <c r="A23">
        <v>10</v>
      </c>
      <c r="B23" t="s">
        <v>38</v>
      </c>
      <c r="F23">
        <v>6.25</v>
      </c>
      <c r="H23" s="2">
        <v>0.12</v>
      </c>
      <c r="I23" s="3">
        <v>755</v>
      </c>
      <c r="K23" s="3">
        <v>754.97299999999996</v>
      </c>
      <c r="L23" s="3" t="s">
        <v>17</v>
      </c>
      <c r="M23" s="3">
        <v>684.24900000000002</v>
      </c>
      <c r="N23" s="3">
        <v>99.834999999999994</v>
      </c>
      <c r="O23">
        <v>1.103</v>
      </c>
      <c r="Q23" s="30">
        <v>4.9630000000000001</v>
      </c>
      <c r="R23" s="22">
        <f>(H23*1.2/1000)*(7/0.4)</f>
        <v>2.5199999999999997E-3</v>
      </c>
      <c r="S23" s="11">
        <f>R23*1000/Q23</f>
        <v>0.50775740479548648</v>
      </c>
      <c r="T23" s="11">
        <f>S23*100/$W$35</f>
        <v>0.72041211419074402</v>
      </c>
    </row>
    <row r="24" spans="1:23" x14ac:dyDescent="0.2">
      <c r="A24">
        <v>11</v>
      </c>
      <c r="B24" t="s">
        <v>39</v>
      </c>
      <c r="F24">
        <v>6.24</v>
      </c>
      <c r="I24" s="3">
        <v>121</v>
      </c>
      <c r="K24" s="3">
        <v>120.651</v>
      </c>
      <c r="L24" s="3" t="s">
        <v>34</v>
      </c>
      <c r="M24" s="3">
        <v>94.117000000000004</v>
      </c>
      <c r="N24" s="3">
        <v>13.862</v>
      </c>
      <c r="O24">
        <v>1.282</v>
      </c>
      <c r="Q24" s="30">
        <v>5.0391000000000004</v>
      </c>
      <c r="R24" s="22">
        <f t="shared" ref="R24:R44" si="0">(H24*1.2/1000)*(7/0.4)</f>
        <v>0</v>
      </c>
    </row>
    <row r="25" spans="1:23" x14ac:dyDescent="0.2">
      <c r="A25">
        <v>12</v>
      </c>
      <c r="B25" t="s">
        <v>40</v>
      </c>
      <c r="F25">
        <v>6.29</v>
      </c>
      <c r="I25" s="3">
        <v>106</v>
      </c>
      <c r="K25" s="3">
        <v>106.352</v>
      </c>
      <c r="L25" s="3" t="s">
        <v>41</v>
      </c>
      <c r="M25" s="3">
        <v>114.123</v>
      </c>
      <c r="N25" s="3">
        <v>9.6579999999999995</v>
      </c>
      <c r="O25">
        <v>0.93200000000000005</v>
      </c>
      <c r="Q25" s="30">
        <v>4.9804000000000004</v>
      </c>
      <c r="R25" s="22">
        <f t="shared" si="0"/>
        <v>0</v>
      </c>
    </row>
    <row r="26" spans="1:23" x14ac:dyDescent="0.2">
      <c r="A26">
        <v>13</v>
      </c>
      <c r="B26" t="s">
        <v>42</v>
      </c>
      <c r="F26">
        <v>6.23</v>
      </c>
      <c r="I26" s="3">
        <v>82</v>
      </c>
      <c r="K26" s="3">
        <v>81.625</v>
      </c>
      <c r="L26" s="3" t="s">
        <v>41</v>
      </c>
      <c r="M26" s="3">
        <v>75.653000000000006</v>
      </c>
      <c r="N26" s="3">
        <v>16.097000000000001</v>
      </c>
      <c r="O26">
        <v>1.079</v>
      </c>
      <c r="Q26" s="30">
        <v>5.0620000000000003</v>
      </c>
      <c r="R26" s="22">
        <f t="shared" si="0"/>
        <v>0</v>
      </c>
    </row>
    <row r="27" spans="1:23" x14ac:dyDescent="0.2">
      <c r="A27">
        <v>14</v>
      </c>
      <c r="B27" t="s">
        <v>43</v>
      </c>
      <c r="F27">
        <v>6.23</v>
      </c>
      <c r="H27" s="2">
        <v>0.88</v>
      </c>
      <c r="I27" s="3">
        <v>2343</v>
      </c>
      <c r="K27" s="3">
        <v>2342.6120000000001</v>
      </c>
      <c r="L27" s="3" t="s">
        <v>17</v>
      </c>
      <c r="M27" s="3">
        <v>2238.3020000000001</v>
      </c>
      <c r="N27" s="3">
        <v>208.63399999999999</v>
      </c>
      <c r="O27">
        <v>1.0469999999999999</v>
      </c>
      <c r="Q27" s="30">
        <v>5.0460000000000003</v>
      </c>
      <c r="R27" s="22">
        <f t="shared" si="0"/>
        <v>1.848E-2</v>
      </c>
      <c r="S27" s="11">
        <f t="shared" ref="S27:S44" si="1">R27*1000/Q27</f>
        <v>3.6623067776456599</v>
      </c>
      <c r="T27" s="11">
        <f t="shared" ref="T27:T34" si="2">S27*100/$W$35</f>
        <v>5.196123470737918</v>
      </c>
    </row>
    <row r="28" spans="1:23" x14ac:dyDescent="0.2">
      <c r="A28">
        <v>15</v>
      </c>
      <c r="B28" t="s">
        <v>44</v>
      </c>
      <c r="F28">
        <v>6.23</v>
      </c>
      <c r="H28" s="2">
        <v>0.93</v>
      </c>
      <c r="I28" s="3">
        <v>2461</v>
      </c>
      <c r="K28" s="3">
        <v>2461.21</v>
      </c>
      <c r="L28" s="3" t="s">
        <v>17</v>
      </c>
      <c r="M28" s="3">
        <v>2204.5619999999999</v>
      </c>
      <c r="N28" s="3">
        <v>250.749</v>
      </c>
      <c r="O28">
        <v>1.1160000000000001</v>
      </c>
      <c r="Q28" s="30">
        <v>5.0867000000000004</v>
      </c>
      <c r="R28" s="22">
        <f t="shared" si="0"/>
        <v>1.9529999999999999E-2</v>
      </c>
      <c r="S28" s="11">
        <f t="shared" si="1"/>
        <v>3.8394243812294802</v>
      </c>
      <c r="T28" s="11">
        <f t="shared" si="2"/>
        <v>5.4474199876436868</v>
      </c>
    </row>
    <row r="29" spans="1:23" x14ac:dyDescent="0.2">
      <c r="A29">
        <v>16</v>
      </c>
      <c r="B29" t="s">
        <v>45</v>
      </c>
      <c r="F29">
        <v>6.23</v>
      </c>
      <c r="H29" s="2">
        <v>1.62</v>
      </c>
      <c r="I29" s="3">
        <v>3891</v>
      </c>
      <c r="K29" s="3">
        <v>3890.6309999999999</v>
      </c>
      <c r="L29" s="3" t="s">
        <v>17</v>
      </c>
      <c r="M29" s="3">
        <v>3488</v>
      </c>
      <c r="N29" s="3">
        <v>285.00299999999999</v>
      </c>
      <c r="O29">
        <v>1.115</v>
      </c>
      <c r="Q29" s="30">
        <v>5.0216000000000003</v>
      </c>
      <c r="R29" s="22">
        <f t="shared" si="0"/>
        <v>3.4020000000000002E-2</v>
      </c>
      <c r="S29" s="11">
        <f t="shared" si="1"/>
        <v>6.7747331527799908</v>
      </c>
      <c r="T29" s="11">
        <f t="shared" si="2"/>
        <v>9.6120702279825085</v>
      </c>
    </row>
    <row r="30" spans="1:23" x14ac:dyDescent="0.2">
      <c r="A30">
        <v>17</v>
      </c>
      <c r="B30" t="s">
        <v>46</v>
      </c>
      <c r="F30">
        <v>6.23</v>
      </c>
      <c r="H30" s="2">
        <v>1.58</v>
      </c>
      <c r="I30" s="3">
        <v>3802</v>
      </c>
      <c r="K30" s="3">
        <v>3801.9259999999999</v>
      </c>
      <c r="L30" s="3" t="s">
        <v>17</v>
      </c>
      <c r="M30" s="3">
        <v>3677.85</v>
      </c>
      <c r="N30" s="3">
        <v>456.964</v>
      </c>
      <c r="O30">
        <v>1.034</v>
      </c>
      <c r="Q30" s="30">
        <v>5.0906000000000002</v>
      </c>
      <c r="R30" s="22">
        <f t="shared" si="0"/>
        <v>3.3180000000000001E-2</v>
      </c>
      <c r="S30" s="11">
        <f t="shared" si="1"/>
        <v>6.5178957293835698</v>
      </c>
      <c r="T30" s="11">
        <f t="shared" si="2"/>
        <v>9.2476663031065236</v>
      </c>
    </row>
    <row r="31" spans="1:23" x14ac:dyDescent="0.2">
      <c r="A31">
        <v>18</v>
      </c>
      <c r="B31" t="s">
        <v>47</v>
      </c>
      <c r="F31">
        <v>6.24</v>
      </c>
      <c r="H31" s="2">
        <v>2.09</v>
      </c>
      <c r="I31" s="3">
        <v>4874</v>
      </c>
      <c r="K31" s="3">
        <v>4873.9089999999997</v>
      </c>
      <c r="L31" s="3" t="s">
        <v>17</v>
      </c>
      <c r="M31" s="3">
        <v>4285.241</v>
      </c>
      <c r="N31" s="3">
        <v>407.3</v>
      </c>
      <c r="O31">
        <v>1.137</v>
      </c>
      <c r="Q31" s="30">
        <v>4.9870000000000001</v>
      </c>
      <c r="R31" s="22">
        <f t="shared" si="0"/>
        <v>4.3889999999999992E-2</v>
      </c>
      <c r="S31" s="11">
        <f t="shared" si="1"/>
        <v>8.800882293964305</v>
      </c>
      <c r="T31" s="11">
        <f t="shared" si="2"/>
        <v>12.486794205773187</v>
      </c>
    </row>
    <row r="32" spans="1:23" x14ac:dyDescent="0.2">
      <c r="A32">
        <v>19</v>
      </c>
      <c r="B32" t="s">
        <v>48</v>
      </c>
      <c r="F32">
        <v>6.24</v>
      </c>
      <c r="H32" s="2">
        <v>2.16</v>
      </c>
      <c r="I32" s="3">
        <v>5015</v>
      </c>
      <c r="K32" s="3">
        <v>5014.7659999999996</v>
      </c>
      <c r="L32" s="3" t="s">
        <v>17</v>
      </c>
      <c r="M32" s="3">
        <v>4636.1819999999998</v>
      </c>
      <c r="N32" s="3">
        <v>633.43100000000004</v>
      </c>
      <c r="O32">
        <v>1.0820000000000001</v>
      </c>
      <c r="Q32" s="30">
        <v>4.9539999999999997</v>
      </c>
      <c r="R32" s="22">
        <f t="shared" si="0"/>
        <v>4.5360000000000004E-2</v>
      </c>
      <c r="S32" s="11">
        <f t="shared" si="1"/>
        <v>9.1562373839321776</v>
      </c>
      <c r="T32" s="11">
        <f t="shared" si="2"/>
        <v>12.990976142332652</v>
      </c>
    </row>
    <row r="33" spans="1:23" x14ac:dyDescent="0.2">
      <c r="A33">
        <v>20</v>
      </c>
      <c r="B33" t="s">
        <v>49</v>
      </c>
      <c r="F33">
        <v>6.23</v>
      </c>
      <c r="H33" s="2">
        <v>3.66</v>
      </c>
      <c r="I33" s="3">
        <v>8144</v>
      </c>
      <c r="K33" s="3">
        <v>8143.9359999999997</v>
      </c>
      <c r="L33" s="3" t="s">
        <v>17</v>
      </c>
      <c r="M33" s="3">
        <v>7432.67</v>
      </c>
      <c r="N33" s="3">
        <v>186.43799999999999</v>
      </c>
      <c r="O33">
        <v>1.0960000000000001</v>
      </c>
      <c r="Q33" s="30">
        <v>4.95</v>
      </c>
      <c r="R33" s="22">
        <f t="shared" si="0"/>
        <v>7.6859999999999998E-2</v>
      </c>
      <c r="S33" s="11">
        <f t="shared" si="1"/>
        <v>15.527272727272727</v>
      </c>
      <c r="T33" s="11">
        <f t="shared" si="2"/>
        <v>22.030275220853383</v>
      </c>
    </row>
    <row r="34" spans="1:23" x14ac:dyDescent="0.2">
      <c r="A34">
        <v>21</v>
      </c>
      <c r="B34" t="s">
        <v>50</v>
      </c>
      <c r="F34">
        <v>6.23</v>
      </c>
      <c r="H34" s="2">
        <v>3.62</v>
      </c>
      <c r="I34" s="3">
        <v>8055</v>
      </c>
      <c r="K34" s="3">
        <v>8055.3959999999997</v>
      </c>
      <c r="L34" s="3" t="s">
        <v>17</v>
      </c>
      <c r="M34" s="3">
        <v>7400.826</v>
      </c>
      <c r="N34" s="3">
        <v>682.03099999999995</v>
      </c>
      <c r="O34">
        <v>1.0880000000000001</v>
      </c>
      <c r="Q34" s="30">
        <v>4.9661999999999997</v>
      </c>
      <c r="R34" s="22">
        <f t="shared" si="0"/>
        <v>7.6020000000000004E-2</v>
      </c>
      <c r="S34" s="11">
        <f t="shared" si="1"/>
        <v>15.30747855503202</v>
      </c>
      <c r="T34" s="11">
        <f t="shared" si="2"/>
        <v>21.718428691752525</v>
      </c>
    </row>
    <row r="35" spans="1:23" x14ac:dyDescent="0.2">
      <c r="A35" s="13">
        <v>22</v>
      </c>
      <c r="B35" s="13" t="s">
        <v>51</v>
      </c>
      <c r="C35" s="13" t="s">
        <v>147</v>
      </c>
      <c r="D35" s="13"/>
      <c r="E35" s="13"/>
      <c r="F35" s="13">
        <v>6.23</v>
      </c>
      <c r="G35" s="13"/>
      <c r="H35" s="14">
        <v>16.18</v>
      </c>
      <c r="I35" s="15">
        <v>33314</v>
      </c>
      <c r="J35" s="15"/>
      <c r="K35" s="15">
        <v>33313.684000000001</v>
      </c>
      <c r="L35" s="15" t="s">
        <v>17</v>
      </c>
      <c r="M35" s="15">
        <v>31556.708999999999</v>
      </c>
      <c r="N35" s="15">
        <v>2311.5740000000001</v>
      </c>
      <c r="O35" s="13">
        <v>1.056</v>
      </c>
      <c r="P35" s="13"/>
      <c r="Q35" s="31">
        <v>5.0309999999999997</v>
      </c>
      <c r="R35" s="32">
        <f t="shared" si="0"/>
        <v>0.33977999999999997</v>
      </c>
      <c r="S35" s="18">
        <f t="shared" si="1"/>
        <v>67.537268932617764</v>
      </c>
      <c r="T35" s="18"/>
      <c r="U35" s="17">
        <f>0.05*9.74</f>
        <v>0.48700000000000004</v>
      </c>
      <c r="V35" s="21">
        <f>R35*100/U35</f>
        <v>69.770020533880881</v>
      </c>
      <c r="W35" s="21">
        <f>AVERAGE(V35:V36)</f>
        <v>70.481519507186846</v>
      </c>
    </row>
    <row r="36" spans="1:23" x14ac:dyDescent="0.2">
      <c r="A36" s="13">
        <v>23</v>
      </c>
      <c r="B36" s="13" t="s">
        <v>52</v>
      </c>
      <c r="C36" s="13" t="s">
        <v>147</v>
      </c>
      <c r="D36" s="13"/>
      <c r="E36" s="13"/>
      <c r="F36" s="13">
        <v>6.23</v>
      </c>
      <c r="G36" s="13"/>
      <c r="H36" s="14">
        <v>16.510000000000002</v>
      </c>
      <c r="I36" s="15">
        <v>33953</v>
      </c>
      <c r="J36" s="15"/>
      <c r="K36" s="15">
        <v>33952.934000000001</v>
      </c>
      <c r="L36" s="15" t="s">
        <v>17</v>
      </c>
      <c r="M36" s="15">
        <v>31665.307000000001</v>
      </c>
      <c r="N36" s="15">
        <v>3594.6759999999999</v>
      </c>
      <c r="O36" s="13">
        <v>1.0720000000000001</v>
      </c>
      <c r="P36" s="13"/>
      <c r="Q36" s="31">
        <v>5.0309999999999997</v>
      </c>
      <c r="R36" s="32">
        <f t="shared" si="0"/>
        <v>0.34671000000000002</v>
      </c>
      <c r="S36" s="18">
        <f t="shared" si="1"/>
        <v>68.914728682170548</v>
      </c>
      <c r="T36" s="18"/>
      <c r="U36" s="17">
        <f>0.05*9.74</f>
        <v>0.48700000000000004</v>
      </c>
      <c r="V36" s="21">
        <f>R36*100/U36</f>
        <v>71.19301848049281</v>
      </c>
      <c r="W36" s="21"/>
    </row>
    <row r="37" spans="1:23" x14ac:dyDescent="0.2">
      <c r="A37">
        <v>24</v>
      </c>
      <c r="B37" t="s">
        <v>53</v>
      </c>
      <c r="F37">
        <v>6.23</v>
      </c>
      <c r="H37" s="2">
        <v>16.440000000000001</v>
      </c>
      <c r="I37" s="3">
        <v>33813</v>
      </c>
      <c r="K37" s="3">
        <v>33813.417999999998</v>
      </c>
      <c r="L37" s="3" t="s">
        <v>17</v>
      </c>
      <c r="M37" s="3">
        <v>32083.521000000001</v>
      </c>
      <c r="N37" s="3">
        <v>2795.8319999999999</v>
      </c>
      <c r="O37">
        <v>1.054</v>
      </c>
      <c r="Q37" s="30">
        <v>4.9340000000000002</v>
      </c>
      <c r="R37" s="22">
        <f t="shared" si="0"/>
        <v>0.34524000000000005</v>
      </c>
      <c r="S37" s="11">
        <f t="shared" si="1"/>
        <v>69.971625456019467</v>
      </c>
      <c r="T37" s="11">
        <f t="shared" ref="T37:T44" si="3">S37*100/$W$35</f>
        <v>99.276556387074791</v>
      </c>
    </row>
    <row r="38" spans="1:23" x14ac:dyDescent="0.2">
      <c r="A38">
        <v>25</v>
      </c>
      <c r="B38" t="s">
        <v>54</v>
      </c>
      <c r="F38">
        <v>6.24</v>
      </c>
      <c r="H38" s="2">
        <v>16.98</v>
      </c>
      <c r="I38" s="3">
        <v>34874</v>
      </c>
      <c r="K38" s="3">
        <v>34874.116999999998</v>
      </c>
      <c r="L38" s="3" t="s">
        <v>17</v>
      </c>
      <c r="M38" s="3">
        <v>32166.307000000001</v>
      </c>
      <c r="N38" s="3">
        <v>5272.3050000000003</v>
      </c>
      <c r="O38">
        <v>1.0840000000000001</v>
      </c>
      <c r="Q38" s="30">
        <v>5.0629999999999997</v>
      </c>
      <c r="R38" s="22">
        <f t="shared" si="0"/>
        <v>0.35658000000000001</v>
      </c>
      <c r="S38" s="11">
        <f t="shared" si="1"/>
        <v>70.428599644479561</v>
      </c>
      <c r="T38" s="11">
        <f t="shared" si="3"/>
        <v>99.924916683015198</v>
      </c>
    </row>
    <row r="39" spans="1:23" x14ac:dyDescent="0.2">
      <c r="A39">
        <v>26</v>
      </c>
      <c r="B39" t="s">
        <v>55</v>
      </c>
      <c r="F39">
        <v>6.24</v>
      </c>
      <c r="H39" s="2">
        <v>27.74</v>
      </c>
      <c r="I39" s="3">
        <v>55249</v>
      </c>
      <c r="K39" s="3">
        <v>55249.02</v>
      </c>
      <c r="L39" s="3" t="s">
        <v>17</v>
      </c>
      <c r="M39" s="3">
        <v>53529.059000000001</v>
      </c>
      <c r="N39" s="3">
        <v>3973.4659999999999</v>
      </c>
      <c r="O39">
        <v>1.032</v>
      </c>
      <c r="Q39" s="30">
        <v>4.992</v>
      </c>
      <c r="R39" s="22">
        <f t="shared" si="0"/>
        <v>0.58253999999999995</v>
      </c>
      <c r="S39" s="11">
        <f t="shared" si="1"/>
        <v>116.69471153846153</v>
      </c>
      <c r="T39" s="11">
        <f t="shared" si="3"/>
        <v>165.56781459083388</v>
      </c>
    </row>
    <row r="40" spans="1:23" x14ac:dyDescent="0.2">
      <c r="A40">
        <v>27</v>
      </c>
      <c r="B40" t="s">
        <v>56</v>
      </c>
      <c r="F40">
        <v>6.23</v>
      </c>
      <c r="H40" s="2">
        <v>24.84</v>
      </c>
      <c r="I40" s="3">
        <v>49862</v>
      </c>
      <c r="K40" s="3">
        <v>49862.214999999997</v>
      </c>
      <c r="L40" s="3" t="s">
        <v>17</v>
      </c>
      <c r="M40" s="3">
        <v>48318.457000000002</v>
      </c>
      <c r="N40" s="3">
        <v>3017.864</v>
      </c>
      <c r="O40">
        <v>1.032</v>
      </c>
      <c r="Q40" s="30">
        <v>5.0566000000000004</v>
      </c>
      <c r="R40" s="22">
        <f t="shared" si="0"/>
        <v>0.52163999999999999</v>
      </c>
      <c r="S40" s="11">
        <f t="shared" si="1"/>
        <v>103.1602262389748</v>
      </c>
      <c r="T40" s="11">
        <f t="shared" si="3"/>
        <v>146.36492936060461</v>
      </c>
    </row>
    <row r="41" spans="1:23" x14ac:dyDescent="0.2">
      <c r="A41">
        <v>28</v>
      </c>
      <c r="B41" t="s">
        <v>57</v>
      </c>
      <c r="F41">
        <v>6.24</v>
      </c>
      <c r="H41" s="2">
        <v>57.28</v>
      </c>
      <c r="I41" s="3">
        <v>105691</v>
      </c>
      <c r="K41" s="3">
        <v>105691.227</v>
      </c>
      <c r="L41" s="3" t="s">
        <v>17</v>
      </c>
      <c r="M41" s="3">
        <v>98592.866999999998</v>
      </c>
      <c r="N41" s="3">
        <v>7893.5770000000002</v>
      </c>
      <c r="O41">
        <v>1.0720000000000001</v>
      </c>
      <c r="Q41" s="30">
        <v>5.0796000000000001</v>
      </c>
      <c r="R41" s="22">
        <f t="shared" si="0"/>
        <v>1.2028800000000002</v>
      </c>
      <c r="S41" s="11">
        <f t="shared" si="1"/>
        <v>236.80604772029295</v>
      </c>
      <c r="T41" s="11">
        <f t="shared" si="3"/>
        <v>335.98317598153704</v>
      </c>
    </row>
    <row r="42" spans="1:23" x14ac:dyDescent="0.2">
      <c r="A42">
        <v>29</v>
      </c>
      <c r="B42" t="s">
        <v>58</v>
      </c>
      <c r="F42">
        <v>6.23</v>
      </c>
      <c r="H42" s="2">
        <v>56.34</v>
      </c>
      <c r="I42" s="3">
        <v>104213</v>
      </c>
      <c r="K42" s="3">
        <v>104213.32</v>
      </c>
      <c r="L42" s="3" t="s">
        <v>17</v>
      </c>
      <c r="M42" s="3">
        <v>98224.414000000004</v>
      </c>
      <c r="N42" s="3">
        <v>4967.6940000000004</v>
      </c>
      <c r="O42">
        <v>1.0609999999999999</v>
      </c>
      <c r="Q42" s="30">
        <v>4.9290000000000003</v>
      </c>
      <c r="R42" s="22">
        <f t="shared" si="0"/>
        <v>1.1831400000000001</v>
      </c>
      <c r="S42" s="11">
        <f t="shared" si="1"/>
        <v>240.03651856360318</v>
      </c>
      <c r="T42" s="11">
        <f t="shared" si="3"/>
        <v>340.56660560379544</v>
      </c>
    </row>
    <row r="43" spans="1:23" x14ac:dyDescent="0.2">
      <c r="A43">
        <v>30</v>
      </c>
      <c r="B43" t="s">
        <v>59</v>
      </c>
      <c r="F43">
        <v>6.23</v>
      </c>
      <c r="H43" s="2">
        <v>70.010000000000005</v>
      </c>
      <c r="I43" s="3">
        <v>124940</v>
      </c>
      <c r="K43" s="3">
        <v>124939.781</v>
      </c>
      <c r="L43" s="3" t="s">
        <v>17</v>
      </c>
      <c r="M43" s="3">
        <v>116757.68799999999</v>
      </c>
      <c r="N43" s="3">
        <v>2736.384</v>
      </c>
      <c r="O43">
        <v>1.07</v>
      </c>
      <c r="Q43" s="30">
        <v>4.9333999999999998</v>
      </c>
      <c r="R43" s="22">
        <f t="shared" si="0"/>
        <v>1.47021</v>
      </c>
      <c r="S43" s="11">
        <f t="shared" si="1"/>
        <v>298.01151335792764</v>
      </c>
      <c r="T43" s="11">
        <f t="shared" si="3"/>
        <v>422.82220281522177</v>
      </c>
    </row>
    <row r="44" spans="1:23" x14ac:dyDescent="0.2">
      <c r="A44">
        <v>31</v>
      </c>
      <c r="B44" t="s">
        <v>60</v>
      </c>
      <c r="F44">
        <v>6.24</v>
      </c>
      <c r="H44" s="2">
        <v>69.92</v>
      </c>
      <c r="I44" s="3">
        <v>124800</v>
      </c>
      <c r="K44" s="3">
        <v>124799.92200000001</v>
      </c>
      <c r="L44" s="3" t="s">
        <v>17</v>
      </c>
      <c r="M44" s="3">
        <v>115742.80499999999</v>
      </c>
      <c r="N44" s="3">
        <v>9980.1299999999992</v>
      </c>
      <c r="O44">
        <v>1.0780000000000001</v>
      </c>
      <c r="Q44" s="30">
        <v>4.9353999999999996</v>
      </c>
      <c r="R44" s="22">
        <f t="shared" si="0"/>
        <v>1.4683199999999998</v>
      </c>
      <c r="S44" s="11">
        <f t="shared" si="1"/>
        <v>297.50780078615719</v>
      </c>
      <c r="T44" s="11">
        <f t="shared" si="3"/>
        <v>422.10752955719261</v>
      </c>
    </row>
    <row r="45" spans="1:23" x14ac:dyDescent="0.2">
      <c r="A45">
        <v>32</v>
      </c>
      <c r="B45" t="s">
        <v>61</v>
      </c>
      <c r="F45">
        <v>6.25</v>
      </c>
      <c r="I45" s="3">
        <v>289</v>
      </c>
      <c r="K45" s="3">
        <v>289.28500000000003</v>
      </c>
      <c r="L45" s="3" t="s">
        <v>34</v>
      </c>
      <c r="M45" s="3">
        <v>257.30799999999999</v>
      </c>
      <c r="N45" s="3">
        <v>32.106000000000002</v>
      </c>
      <c r="O45">
        <v>1.1240000000000001</v>
      </c>
      <c r="Q45" s="30"/>
      <c r="R45" s="22"/>
    </row>
    <row r="46" spans="1:23" x14ac:dyDescent="0.2">
      <c r="A46">
        <v>33</v>
      </c>
      <c r="B46" t="s">
        <v>62</v>
      </c>
      <c r="F46">
        <v>6.23</v>
      </c>
      <c r="I46" s="3">
        <v>235</v>
      </c>
      <c r="K46" s="3">
        <v>235.386</v>
      </c>
      <c r="L46" s="3" t="s">
        <v>34</v>
      </c>
      <c r="M46" s="3">
        <v>146.63900000000001</v>
      </c>
      <c r="N46" s="3">
        <v>26.367999999999999</v>
      </c>
      <c r="O46">
        <v>1.605</v>
      </c>
    </row>
    <row r="47" spans="1:23" x14ac:dyDescent="0.2">
      <c r="A47">
        <v>34</v>
      </c>
      <c r="B47" t="s">
        <v>63</v>
      </c>
      <c r="F47">
        <v>6.23</v>
      </c>
      <c r="I47" s="3">
        <v>163</v>
      </c>
      <c r="K47" s="3">
        <v>162.726</v>
      </c>
      <c r="L47" s="3" t="s">
        <v>34</v>
      </c>
      <c r="M47" s="3">
        <v>180.60400000000001</v>
      </c>
      <c r="N47" s="3">
        <v>25.03</v>
      </c>
      <c r="O47">
        <v>0.90100000000000002</v>
      </c>
    </row>
    <row r="48" spans="1:23" x14ac:dyDescent="0.2">
      <c r="A48">
        <v>35</v>
      </c>
      <c r="B48" t="s">
        <v>64</v>
      </c>
    </row>
    <row r="49" spans="1:19" x14ac:dyDescent="0.2">
      <c r="A49">
        <v>36</v>
      </c>
      <c r="B49" t="s">
        <v>65</v>
      </c>
    </row>
    <row r="50" spans="1:19" x14ac:dyDescent="0.2">
      <c r="A50">
        <v>37</v>
      </c>
      <c r="B50" t="s">
        <v>66</v>
      </c>
    </row>
    <row r="52" spans="1:19" x14ac:dyDescent="0.2">
      <c r="A52" t="s">
        <v>0</v>
      </c>
      <c r="H52"/>
      <c r="I52"/>
      <c r="J52"/>
      <c r="K52"/>
      <c r="L52"/>
      <c r="M52"/>
      <c r="N52"/>
    </row>
    <row r="53" spans="1:19" x14ac:dyDescent="0.2">
      <c r="H53"/>
      <c r="I53"/>
      <c r="J53"/>
      <c r="K53"/>
      <c r="L53"/>
      <c r="M53"/>
      <c r="N53"/>
    </row>
    <row r="54" spans="1:19" x14ac:dyDescent="0.2"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 t="s">
        <v>7</v>
      </c>
      <c r="I54" s="3" t="s">
        <v>8</v>
      </c>
      <c r="J54" s="3" t="s">
        <v>9</v>
      </c>
      <c r="K54" s="3" t="s">
        <v>10</v>
      </c>
      <c r="L54" s="3" t="s">
        <v>11</v>
      </c>
      <c r="M54" s="3" t="s">
        <v>12</v>
      </c>
      <c r="N54" s="3" t="s">
        <v>13</v>
      </c>
      <c r="O54" t="s">
        <v>14</v>
      </c>
      <c r="Q54" s="1" t="s">
        <v>121</v>
      </c>
      <c r="R54" s="10" t="s">
        <v>124</v>
      </c>
      <c r="S54" s="11" t="s">
        <v>122</v>
      </c>
    </row>
    <row r="55" spans="1:19" x14ac:dyDescent="0.2">
      <c r="A55">
        <v>1</v>
      </c>
      <c r="B55" t="s">
        <v>70</v>
      </c>
      <c r="D55" t="s">
        <v>16</v>
      </c>
      <c r="E55">
        <v>0.26600000000000001</v>
      </c>
      <c r="F55">
        <v>6.24</v>
      </c>
      <c r="G55">
        <v>1.9</v>
      </c>
      <c r="H55" s="2">
        <v>0.27</v>
      </c>
      <c r="I55" s="3">
        <v>945</v>
      </c>
      <c r="K55" s="3">
        <v>945.00199999999995</v>
      </c>
      <c r="L55" s="3" t="s">
        <v>17</v>
      </c>
      <c r="M55" s="3">
        <v>811.46500000000003</v>
      </c>
      <c r="N55" s="3">
        <v>108.71899999999999</v>
      </c>
      <c r="O55">
        <v>1.165</v>
      </c>
    </row>
    <row r="56" spans="1:19" x14ac:dyDescent="0.2">
      <c r="A56">
        <v>2</v>
      </c>
      <c r="B56" t="s">
        <v>71</v>
      </c>
      <c r="D56" t="s">
        <v>16</v>
      </c>
      <c r="E56">
        <v>0.26600000000000001</v>
      </c>
      <c r="F56">
        <v>6.24</v>
      </c>
      <c r="G56">
        <v>7.2</v>
      </c>
      <c r="H56" s="2">
        <v>0.28999999999999998</v>
      </c>
      <c r="I56" s="3">
        <v>985</v>
      </c>
      <c r="K56" s="3">
        <v>985.14800000000002</v>
      </c>
      <c r="L56" s="3" t="s">
        <v>17</v>
      </c>
      <c r="M56" s="3">
        <v>870.80200000000002</v>
      </c>
      <c r="N56" s="3">
        <v>99.164000000000001</v>
      </c>
      <c r="O56">
        <v>1.131</v>
      </c>
    </row>
    <row r="57" spans="1:19" x14ac:dyDescent="0.2">
      <c r="A57">
        <v>3</v>
      </c>
      <c r="B57" t="s">
        <v>72</v>
      </c>
      <c r="D57" t="s">
        <v>16</v>
      </c>
      <c r="E57">
        <v>0.499</v>
      </c>
      <c r="F57">
        <v>6.24</v>
      </c>
      <c r="G57">
        <v>-1.2</v>
      </c>
      <c r="H57" s="2">
        <v>0.49</v>
      </c>
      <c r="I57" s="3">
        <v>1573</v>
      </c>
      <c r="K57" s="3">
        <v>1572.9680000000001</v>
      </c>
      <c r="L57" s="3" t="s">
        <v>17</v>
      </c>
      <c r="M57" s="3">
        <v>1392.452</v>
      </c>
      <c r="N57" s="3">
        <v>160.52600000000001</v>
      </c>
      <c r="O57">
        <v>1.1299999999999999</v>
      </c>
    </row>
    <row r="58" spans="1:19" x14ac:dyDescent="0.2">
      <c r="A58">
        <v>4</v>
      </c>
      <c r="B58" t="s">
        <v>73</v>
      </c>
      <c r="D58" t="s">
        <v>16</v>
      </c>
      <c r="E58">
        <v>0.499</v>
      </c>
      <c r="F58">
        <v>6.23</v>
      </c>
      <c r="G58">
        <v>-5.5</v>
      </c>
      <c r="H58" s="2">
        <v>0.47</v>
      </c>
      <c r="I58" s="3">
        <v>1513</v>
      </c>
      <c r="K58" s="3">
        <v>1512.7529999999999</v>
      </c>
      <c r="L58" s="3" t="s">
        <v>17</v>
      </c>
      <c r="M58" s="3">
        <v>1454.0309999999999</v>
      </c>
      <c r="N58" s="3">
        <v>192.40299999999999</v>
      </c>
      <c r="O58">
        <v>1.04</v>
      </c>
    </row>
    <row r="59" spans="1:19" x14ac:dyDescent="0.2">
      <c r="A59">
        <v>5</v>
      </c>
      <c r="B59" t="s">
        <v>74</v>
      </c>
      <c r="D59" t="s">
        <v>16</v>
      </c>
      <c r="E59">
        <v>1</v>
      </c>
      <c r="F59">
        <v>6.24</v>
      </c>
      <c r="G59">
        <v>-0.1</v>
      </c>
      <c r="H59" s="2">
        <v>1</v>
      </c>
      <c r="I59" s="3">
        <v>2984</v>
      </c>
      <c r="K59" s="3">
        <v>2984.3510000000001</v>
      </c>
      <c r="L59" s="3" t="s">
        <v>17</v>
      </c>
      <c r="M59" s="3">
        <v>2661.2190000000001</v>
      </c>
      <c r="N59" s="3">
        <v>396.47800000000001</v>
      </c>
      <c r="O59">
        <v>1.121</v>
      </c>
    </row>
    <row r="60" spans="1:19" x14ac:dyDescent="0.2">
      <c r="A60">
        <v>6</v>
      </c>
      <c r="B60" t="s">
        <v>75</v>
      </c>
      <c r="D60" t="s">
        <v>16</v>
      </c>
      <c r="E60">
        <v>2.2999999999999998</v>
      </c>
      <c r="F60">
        <v>6.24</v>
      </c>
      <c r="G60">
        <v>-0.1</v>
      </c>
      <c r="H60" s="2">
        <v>2.2999999999999998</v>
      </c>
      <c r="I60" s="3">
        <v>6490</v>
      </c>
      <c r="K60" s="3">
        <v>6490.1139999999996</v>
      </c>
      <c r="L60" s="3" t="s">
        <v>17</v>
      </c>
      <c r="M60" s="3">
        <v>5843.6480000000001</v>
      </c>
      <c r="N60" s="3">
        <v>580.81299999999999</v>
      </c>
      <c r="O60">
        <v>1.111</v>
      </c>
    </row>
    <row r="61" spans="1:19" x14ac:dyDescent="0.2">
      <c r="A61">
        <v>7</v>
      </c>
      <c r="B61" t="s">
        <v>76</v>
      </c>
      <c r="D61" t="s">
        <v>16</v>
      </c>
      <c r="E61">
        <v>5.3</v>
      </c>
      <c r="F61">
        <v>6.23</v>
      </c>
      <c r="G61">
        <v>-0.2</v>
      </c>
      <c r="H61" s="2">
        <v>5.29</v>
      </c>
      <c r="I61" s="3">
        <v>13909</v>
      </c>
      <c r="K61" s="3">
        <v>13909.235000000001</v>
      </c>
      <c r="L61" s="3" t="s">
        <v>17</v>
      </c>
      <c r="M61" s="3">
        <v>13196.549000000001</v>
      </c>
      <c r="N61" s="3">
        <v>688.32600000000002</v>
      </c>
      <c r="O61">
        <v>1.054</v>
      </c>
    </row>
    <row r="62" spans="1:19" x14ac:dyDescent="0.2">
      <c r="A62" s="4">
        <v>8</v>
      </c>
      <c r="B62" s="4" t="s">
        <v>77</v>
      </c>
      <c r="C62" s="4"/>
      <c r="D62" s="4" t="s">
        <v>16</v>
      </c>
      <c r="E62" s="4">
        <v>26.6</v>
      </c>
      <c r="F62" s="4">
        <v>6.24</v>
      </c>
      <c r="G62" s="4">
        <v>-100</v>
      </c>
      <c r="H62" s="5"/>
      <c r="I62" s="6">
        <v>53940</v>
      </c>
      <c r="J62" s="6"/>
      <c r="K62" s="6">
        <v>53940.055</v>
      </c>
      <c r="L62" s="6" t="s">
        <v>21</v>
      </c>
      <c r="M62" s="6">
        <v>52134.148000000001</v>
      </c>
      <c r="N62" s="6">
        <v>2664.4250000000002</v>
      </c>
      <c r="O62" s="4">
        <v>1.0349999999999999</v>
      </c>
    </row>
    <row r="63" spans="1:19" x14ac:dyDescent="0.2">
      <c r="A63">
        <v>9</v>
      </c>
      <c r="B63" t="s">
        <v>15</v>
      </c>
      <c r="D63" t="s">
        <v>16</v>
      </c>
      <c r="E63">
        <v>0.499</v>
      </c>
      <c r="F63">
        <v>6.23</v>
      </c>
      <c r="G63">
        <v>-1.8</v>
      </c>
      <c r="H63" s="2">
        <v>0.49</v>
      </c>
      <c r="I63" s="3">
        <v>1565</v>
      </c>
      <c r="K63" s="3">
        <v>1565.1010000000001</v>
      </c>
      <c r="L63" s="3" t="s">
        <v>17</v>
      </c>
      <c r="M63" s="3">
        <v>1453.7360000000001</v>
      </c>
      <c r="N63" s="3">
        <v>185.23</v>
      </c>
      <c r="O63">
        <v>1.077</v>
      </c>
    </row>
    <row r="64" spans="1:19" x14ac:dyDescent="0.2">
      <c r="A64">
        <v>10</v>
      </c>
      <c r="B64" t="s">
        <v>18</v>
      </c>
      <c r="D64" t="s">
        <v>16</v>
      </c>
      <c r="E64">
        <v>2.2999999999999998</v>
      </c>
      <c r="F64">
        <v>6.23</v>
      </c>
      <c r="G64">
        <v>1.5</v>
      </c>
      <c r="H64" s="2">
        <v>2.33</v>
      </c>
      <c r="I64" s="3">
        <v>6587</v>
      </c>
      <c r="K64" s="3">
        <v>6587.1809999999996</v>
      </c>
      <c r="L64" s="3" t="s">
        <v>17</v>
      </c>
      <c r="M64" s="3">
        <v>6094.8549999999996</v>
      </c>
      <c r="N64" s="3">
        <v>1014.385</v>
      </c>
      <c r="O64">
        <v>1.081</v>
      </c>
    </row>
    <row r="65" spans="1:20" x14ac:dyDescent="0.2">
      <c r="A65" s="4">
        <v>11</v>
      </c>
      <c r="B65" s="4" t="s">
        <v>19</v>
      </c>
      <c r="C65" s="4"/>
      <c r="D65" s="4" t="s">
        <v>16</v>
      </c>
      <c r="E65" s="4">
        <v>26.6</v>
      </c>
      <c r="F65" s="4">
        <v>6.23</v>
      </c>
      <c r="G65" s="4">
        <v>-100</v>
      </c>
      <c r="H65" s="5"/>
      <c r="I65" s="6">
        <v>54706</v>
      </c>
      <c r="J65" s="6"/>
      <c r="K65" s="6">
        <v>54706.016000000003</v>
      </c>
      <c r="L65" s="6" t="s">
        <v>21</v>
      </c>
      <c r="M65" s="6">
        <v>51796.805</v>
      </c>
      <c r="N65" s="6">
        <v>3246.873</v>
      </c>
      <c r="O65" s="4">
        <v>1.056</v>
      </c>
    </row>
    <row r="66" spans="1:20" x14ac:dyDescent="0.2">
      <c r="A66">
        <v>12</v>
      </c>
      <c r="B66" t="s">
        <v>22</v>
      </c>
      <c r="D66" t="s">
        <v>16</v>
      </c>
      <c r="E66">
        <v>4.2000000000000003E-2</v>
      </c>
      <c r="F66">
        <v>6.23</v>
      </c>
      <c r="G66">
        <v>-1.7</v>
      </c>
      <c r="H66" s="2">
        <v>0.04</v>
      </c>
      <c r="I66" s="3">
        <v>290</v>
      </c>
      <c r="K66" s="3">
        <v>289.851</v>
      </c>
      <c r="L66" s="3" t="s">
        <v>17</v>
      </c>
      <c r="M66" s="3">
        <v>273.5</v>
      </c>
      <c r="N66" s="3">
        <v>29.14</v>
      </c>
      <c r="O66">
        <v>1.06</v>
      </c>
    </row>
    <row r="67" spans="1:20" x14ac:dyDescent="0.2">
      <c r="A67">
        <v>13</v>
      </c>
      <c r="B67" t="s">
        <v>80</v>
      </c>
      <c r="F67">
        <v>6.23</v>
      </c>
      <c r="H67" s="2">
        <v>0.11</v>
      </c>
      <c r="I67" s="3">
        <v>488</v>
      </c>
      <c r="K67" s="3">
        <v>488.20699999999999</v>
      </c>
      <c r="L67" s="3" t="s">
        <v>17</v>
      </c>
      <c r="M67" s="3">
        <v>439.51499999999999</v>
      </c>
      <c r="N67" s="3">
        <v>44.463000000000001</v>
      </c>
      <c r="O67">
        <v>1.111</v>
      </c>
    </row>
    <row r="68" spans="1:20" x14ac:dyDescent="0.2">
      <c r="A68">
        <v>14</v>
      </c>
      <c r="B68" t="s">
        <v>81</v>
      </c>
      <c r="F68">
        <v>6.24</v>
      </c>
      <c r="H68" s="2">
        <v>0.03</v>
      </c>
      <c r="I68" s="3">
        <v>251</v>
      </c>
      <c r="K68" s="3">
        <v>250.75899999999999</v>
      </c>
      <c r="L68" s="3" t="s">
        <v>17</v>
      </c>
      <c r="M68" s="3">
        <v>204.71700000000001</v>
      </c>
      <c r="N68" s="3">
        <v>26.657</v>
      </c>
      <c r="O68">
        <v>1.2250000000000001</v>
      </c>
    </row>
    <row r="69" spans="1:20" x14ac:dyDescent="0.2">
      <c r="A69">
        <v>15</v>
      </c>
      <c r="B69" t="s">
        <v>82</v>
      </c>
      <c r="F69">
        <v>6.23</v>
      </c>
      <c r="H69" s="2">
        <v>0.03</v>
      </c>
      <c r="I69" s="3">
        <v>244</v>
      </c>
      <c r="K69" s="3">
        <v>243.923</v>
      </c>
      <c r="L69" s="3" t="s">
        <v>128</v>
      </c>
      <c r="M69" s="3">
        <v>157.21</v>
      </c>
      <c r="N69" s="3">
        <v>22.390999999999998</v>
      </c>
      <c r="O69">
        <v>1.552</v>
      </c>
    </row>
    <row r="70" spans="1:20" x14ac:dyDescent="0.2">
      <c r="A70">
        <v>16</v>
      </c>
      <c r="B70" t="s">
        <v>83</v>
      </c>
    </row>
    <row r="71" spans="1:20" x14ac:dyDescent="0.2">
      <c r="A71">
        <v>17</v>
      </c>
      <c r="B71" t="s">
        <v>84</v>
      </c>
    </row>
    <row r="72" spans="1:20" x14ac:dyDescent="0.2">
      <c r="A72">
        <v>18</v>
      </c>
      <c r="B72" t="s">
        <v>85</v>
      </c>
    </row>
    <row r="73" spans="1:20" x14ac:dyDescent="0.2">
      <c r="A73">
        <v>19</v>
      </c>
      <c r="B73" t="s">
        <v>86</v>
      </c>
      <c r="F73">
        <v>6.24</v>
      </c>
      <c r="I73" s="3">
        <v>169</v>
      </c>
      <c r="K73" s="3">
        <v>169.083</v>
      </c>
      <c r="L73" s="3" t="s">
        <v>34</v>
      </c>
      <c r="M73" s="3">
        <v>139.29499999999999</v>
      </c>
      <c r="N73" s="3">
        <v>22.349</v>
      </c>
      <c r="O73">
        <v>1.214</v>
      </c>
    </row>
    <row r="74" spans="1:20" x14ac:dyDescent="0.2">
      <c r="A74">
        <v>20</v>
      </c>
      <c r="B74" t="s">
        <v>87</v>
      </c>
      <c r="F74">
        <v>6.24</v>
      </c>
      <c r="I74" s="3">
        <v>170</v>
      </c>
      <c r="K74" s="3">
        <v>170.309</v>
      </c>
      <c r="L74" s="3" t="s">
        <v>34</v>
      </c>
      <c r="M74" s="3">
        <v>154.21100000000001</v>
      </c>
      <c r="N74" s="3">
        <v>23.318999999999999</v>
      </c>
      <c r="O74">
        <v>1.1040000000000001</v>
      </c>
    </row>
    <row r="75" spans="1:20" x14ac:dyDescent="0.2">
      <c r="A75" s="33">
        <v>21</v>
      </c>
      <c r="B75" s="33" t="s">
        <v>88</v>
      </c>
      <c r="C75" s="33"/>
      <c r="D75" s="33"/>
      <c r="E75" s="33"/>
      <c r="F75" s="33">
        <v>6.23</v>
      </c>
      <c r="G75" s="33"/>
      <c r="H75" s="34"/>
      <c r="I75" s="35">
        <v>106</v>
      </c>
      <c r="J75" s="35"/>
      <c r="K75" s="35">
        <v>106.16</v>
      </c>
      <c r="L75" s="35" t="s">
        <v>41</v>
      </c>
      <c r="M75" s="35">
        <v>97.942999999999998</v>
      </c>
      <c r="N75" s="35">
        <v>9.8040000000000003</v>
      </c>
      <c r="O75" s="33">
        <v>1.0840000000000001</v>
      </c>
      <c r="P75" s="33"/>
      <c r="Q75" s="36">
        <v>5.0263</v>
      </c>
      <c r="R75" s="37">
        <f t="shared" ref="R75:R76" si="4">(H75*1.2/1000)*(7/0.4)</f>
        <v>0</v>
      </c>
      <c r="S75" s="38">
        <f t="shared" ref="S75:S76" si="5">R75*1000/Q75</f>
        <v>0</v>
      </c>
      <c r="T75" s="38">
        <f t="shared" ref="T75:T76" si="6">S75*100/$W$35</f>
        <v>0</v>
      </c>
    </row>
    <row r="76" spans="1:20" x14ac:dyDescent="0.2">
      <c r="A76" s="33">
        <v>22</v>
      </c>
      <c r="B76" s="33" t="s">
        <v>89</v>
      </c>
      <c r="C76" s="33"/>
      <c r="D76" s="33"/>
      <c r="E76" s="33"/>
      <c r="F76" s="33">
        <v>6.25</v>
      </c>
      <c r="G76" s="33"/>
      <c r="H76" s="34"/>
      <c r="I76" s="35">
        <v>138</v>
      </c>
      <c r="J76" s="35"/>
      <c r="K76" s="35">
        <v>138.16200000000001</v>
      </c>
      <c r="L76" s="35" t="s">
        <v>41</v>
      </c>
      <c r="M76" s="35">
        <v>104.468</v>
      </c>
      <c r="N76" s="35">
        <v>14.14</v>
      </c>
      <c r="O76" s="33">
        <v>1.3220000000000001</v>
      </c>
      <c r="P76" s="33"/>
      <c r="Q76" s="36">
        <v>4.96</v>
      </c>
      <c r="R76" s="37">
        <f t="shared" si="4"/>
        <v>0</v>
      </c>
      <c r="S76" s="38">
        <f t="shared" si="5"/>
        <v>0</v>
      </c>
      <c r="T76" s="38">
        <f t="shared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598B-E3B9-45D1-92C7-DFE23DF13C24}">
  <sheetPr>
    <tabColor theme="7" tint="0.59999389629810485"/>
  </sheetPr>
  <dimension ref="A1:M15"/>
  <sheetViews>
    <sheetView tabSelected="1" workbookViewId="0">
      <selection activeCell="K15" sqref="K15"/>
    </sheetView>
  </sheetViews>
  <sheetFormatPr baseColWidth="10" defaultRowHeight="15" x14ac:dyDescent="0.2"/>
  <cols>
    <col min="1" max="1" width="12.6640625" bestFit="1" customWidth="1"/>
    <col min="3" max="3" width="10.5" customWidth="1"/>
    <col min="7" max="7" width="1.5" customWidth="1"/>
    <col min="12" max="13" width="10.83203125" style="56"/>
  </cols>
  <sheetData>
    <row r="1" spans="1:13" x14ac:dyDescent="0.2">
      <c r="D1" s="55" t="s">
        <v>142</v>
      </c>
      <c r="E1" s="55"/>
      <c r="F1" s="55"/>
      <c r="G1" s="42"/>
      <c r="H1" s="42"/>
      <c r="I1" s="55" t="s">
        <v>146</v>
      </c>
      <c r="J1" s="55"/>
      <c r="K1" s="55"/>
    </row>
    <row r="2" spans="1:13" ht="48" x14ac:dyDescent="0.2">
      <c r="A2" s="50" t="s">
        <v>131</v>
      </c>
      <c r="B2" s="50" t="s">
        <v>132</v>
      </c>
      <c r="C2" s="40" t="s">
        <v>133</v>
      </c>
      <c r="D2" s="41" t="s">
        <v>143</v>
      </c>
      <c r="E2" s="41" t="s">
        <v>144</v>
      </c>
      <c r="F2" s="52" t="s">
        <v>145</v>
      </c>
      <c r="G2" s="42"/>
      <c r="H2" s="43" t="s">
        <v>134</v>
      </c>
      <c r="I2" s="41" t="s">
        <v>143</v>
      </c>
      <c r="J2" s="41" t="s">
        <v>144</v>
      </c>
      <c r="K2" s="52" t="s">
        <v>145</v>
      </c>
    </row>
    <row r="3" spans="1:13" x14ac:dyDescent="0.2">
      <c r="A3" s="51" t="s">
        <v>140</v>
      </c>
      <c r="B3" s="51" t="s">
        <v>141</v>
      </c>
      <c r="C3" s="44"/>
      <c r="D3" s="45">
        <v>0</v>
      </c>
      <c r="E3" s="45">
        <v>0</v>
      </c>
      <c r="F3" s="53">
        <f>AVERAGE(D3:E3)</f>
        <v>0</v>
      </c>
      <c r="G3" s="42"/>
      <c r="H3" s="46"/>
      <c r="I3" s="47">
        <f>'dose_epx_gamme basse'!T31</f>
        <v>0.20890117979428208</v>
      </c>
      <c r="J3" s="47">
        <f>'dose_epx_gamme basse'!T32</f>
        <v>0.16935483870967744</v>
      </c>
      <c r="K3" s="54">
        <f>AVERAGE(I3:J3)</f>
        <v>0.18912800925197976</v>
      </c>
    </row>
    <row r="4" spans="1:13" x14ac:dyDescent="0.2">
      <c r="A4" s="51">
        <v>2</v>
      </c>
      <c r="B4" s="51" t="s">
        <v>135</v>
      </c>
      <c r="C4" s="48">
        <v>0</v>
      </c>
      <c r="D4" s="45">
        <f>dose_imd!T23</f>
        <v>0.72041211419074402</v>
      </c>
      <c r="E4" s="45">
        <v>0</v>
      </c>
      <c r="F4" s="53">
        <f t="shared" ref="F4:F13" si="0">AVERAGE(D4:E4)</f>
        <v>0.36020605709537201</v>
      </c>
      <c r="G4" s="42"/>
      <c r="H4" s="49">
        <v>9418.1</v>
      </c>
      <c r="I4" s="47">
        <f>'dose_epx_gamme basse'!T47</f>
        <v>6797.1791255289127</v>
      </c>
      <c r="J4" s="47">
        <f>'dose_epx_gamme basse'!T48</f>
        <v>7021.253795320592</v>
      </c>
      <c r="K4" s="54">
        <f t="shared" ref="K4:K13" si="1">AVERAGE(I4:J4)</f>
        <v>6909.2164604247519</v>
      </c>
      <c r="L4" s="56">
        <f>K4/H4</f>
        <v>0.73361043739445875</v>
      </c>
    </row>
    <row r="5" spans="1:13" x14ac:dyDescent="0.2">
      <c r="A5" s="51">
        <v>2</v>
      </c>
      <c r="B5" s="51" t="s">
        <v>136</v>
      </c>
      <c r="C5" s="48">
        <v>6.5</v>
      </c>
      <c r="D5" s="45">
        <f>dose_imd!T27</f>
        <v>5.196123470737918</v>
      </c>
      <c r="E5" s="45">
        <f>dose_imd!T28</f>
        <v>5.4474199876436868</v>
      </c>
      <c r="F5" s="53">
        <f t="shared" si="0"/>
        <v>5.321771729190802</v>
      </c>
      <c r="G5" s="42"/>
      <c r="H5" s="49">
        <v>7063.6</v>
      </c>
      <c r="I5" s="47">
        <f>'dose_epx_gamme basse'!T45</f>
        <v>5157.1938168846609</v>
      </c>
      <c r="J5" s="47">
        <f>'dose_epx_gamme basse'!T46</f>
        <v>5181.9843906658534</v>
      </c>
      <c r="K5" s="54">
        <f t="shared" si="1"/>
        <v>5169.5891037752572</v>
      </c>
      <c r="L5" s="56">
        <f t="shared" ref="L5:L13" si="2">K5/H5</f>
        <v>0.7318632289165945</v>
      </c>
      <c r="M5" s="56">
        <f t="shared" ref="M5:M13" si="3">F5/C5</f>
        <v>0.81873411218320036</v>
      </c>
    </row>
    <row r="6" spans="1:13" x14ac:dyDescent="0.2">
      <c r="A6" s="51">
        <v>2</v>
      </c>
      <c r="B6" s="51" t="s">
        <v>137</v>
      </c>
      <c r="C6" s="48">
        <v>13.1</v>
      </c>
      <c r="D6" s="45">
        <f>dose_imd!T29</f>
        <v>9.6120702279825085</v>
      </c>
      <c r="E6" s="45">
        <f>dose_imd!T30</f>
        <v>9.2476663031065236</v>
      </c>
      <c r="F6" s="53">
        <f t="shared" si="0"/>
        <v>9.429868265544517</v>
      </c>
      <c r="G6" s="42"/>
      <c r="H6" s="49">
        <v>4709</v>
      </c>
      <c r="I6" s="47">
        <f>'dose_epx_gamme basse'!T41</f>
        <v>3519.5156922096544</v>
      </c>
      <c r="J6" s="47">
        <f>'dose_epx_gamme basse'!T42</f>
        <v>3679.7234117785715</v>
      </c>
      <c r="K6" s="54">
        <f t="shared" si="1"/>
        <v>3599.619551994113</v>
      </c>
      <c r="L6" s="56">
        <f t="shared" si="2"/>
        <v>0.76441273136422017</v>
      </c>
      <c r="M6" s="56">
        <f t="shared" si="3"/>
        <v>0.71983727217897076</v>
      </c>
    </row>
    <row r="7" spans="1:13" x14ac:dyDescent="0.2">
      <c r="A7" s="51">
        <v>2</v>
      </c>
      <c r="B7" s="51" t="s">
        <v>138</v>
      </c>
      <c r="C7" s="48">
        <v>19.600000000000001</v>
      </c>
      <c r="D7" s="45">
        <f>dose_imd!T31</f>
        <v>12.486794205773187</v>
      </c>
      <c r="E7" s="45">
        <f>dose_imd!T32</f>
        <v>12.990976142332652</v>
      </c>
      <c r="F7" s="53">
        <f t="shared" si="0"/>
        <v>12.738885174052919</v>
      </c>
      <c r="G7" s="42"/>
      <c r="H7" s="49">
        <v>2354.5</v>
      </c>
      <c r="I7" s="47">
        <f>'dose_epx_gamme basse'!T39</f>
        <v>1418.247443352717</v>
      </c>
      <c r="J7" s="47">
        <f>'dose_epx_gamme basse'!T40</f>
        <v>2173.7585789261202</v>
      </c>
      <c r="K7" s="54">
        <f t="shared" si="1"/>
        <v>1796.0030111394185</v>
      </c>
      <c r="L7" s="56">
        <f t="shared" si="2"/>
        <v>0.76279592743232894</v>
      </c>
      <c r="M7" s="56">
        <f t="shared" si="3"/>
        <v>0.64994312112514885</v>
      </c>
    </row>
    <row r="8" spans="1:13" x14ac:dyDescent="0.2">
      <c r="A8" s="51">
        <v>2</v>
      </c>
      <c r="B8" s="51" t="s">
        <v>139</v>
      </c>
      <c r="C8" s="48">
        <v>26.1</v>
      </c>
      <c r="D8" s="45">
        <f>dose_imd!T33</f>
        <v>22.030275220853383</v>
      </c>
      <c r="E8" s="45">
        <f>dose_imd!T34</f>
        <v>21.718428691752525</v>
      </c>
      <c r="F8" s="53">
        <f t="shared" si="0"/>
        <v>21.874351956302952</v>
      </c>
      <c r="G8" s="42"/>
      <c r="H8" s="49">
        <v>0</v>
      </c>
      <c r="I8" s="47">
        <f>'dose_epx_gamme basse'!T33</f>
        <v>0</v>
      </c>
      <c r="J8" s="47">
        <f>'dose_epx_gamme basse'!T34</f>
        <v>3.3830044301248492</v>
      </c>
      <c r="K8" s="54">
        <f t="shared" si="1"/>
        <v>1.6915022150624246</v>
      </c>
      <c r="M8" s="56">
        <f t="shared" si="3"/>
        <v>0.8380977761035614</v>
      </c>
    </row>
    <row r="9" spans="1:13" x14ac:dyDescent="0.2">
      <c r="A9" s="51">
        <v>5</v>
      </c>
      <c r="B9" s="51" t="s">
        <v>135</v>
      </c>
      <c r="C9" s="48">
        <f>C4*18</f>
        <v>0</v>
      </c>
      <c r="D9" s="45">
        <v>0</v>
      </c>
      <c r="E9" s="45">
        <v>0</v>
      </c>
      <c r="F9" s="53">
        <f t="shared" si="0"/>
        <v>0</v>
      </c>
      <c r="G9" s="42"/>
      <c r="H9" s="49">
        <f>H4*18</f>
        <v>169525.80000000002</v>
      </c>
      <c r="I9" s="47">
        <f>'dose_epx_gamme haute'!T55</f>
        <v>127730.46341659302</v>
      </c>
      <c r="J9" s="47">
        <f>'dose_epx_gamme haute'!T56</f>
        <v>125532.04267088106</v>
      </c>
      <c r="K9" s="54">
        <f t="shared" si="1"/>
        <v>126631.25304373703</v>
      </c>
      <c r="L9" s="56">
        <f t="shared" si="2"/>
        <v>0.74697334000923177</v>
      </c>
    </row>
    <row r="10" spans="1:13" x14ac:dyDescent="0.2">
      <c r="A10" s="51">
        <v>5</v>
      </c>
      <c r="B10" s="51" t="s">
        <v>136</v>
      </c>
      <c r="C10" s="48">
        <f t="shared" ref="C10:C13" si="4">C5*18</f>
        <v>117</v>
      </c>
      <c r="D10" s="45">
        <f>dose_imd!T37</f>
        <v>99.276556387074791</v>
      </c>
      <c r="E10" s="45">
        <f>dose_imd!T38</f>
        <v>99.924916683015198</v>
      </c>
      <c r="F10" s="53">
        <f t="shared" si="0"/>
        <v>99.600736535045002</v>
      </c>
      <c r="G10" s="42"/>
      <c r="H10" s="49">
        <f>H5*18</f>
        <v>127144.8</v>
      </c>
      <c r="I10" s="47">
        <f>'dose_epx_gamme haute'!T53</f>
        <v>92474.908796108633</v>
      </c>
      <c r="J10" s="47">
        <f>'dose_epx_gamme haute'!T54</f>
        <v>112197.98538415958</v>
      </c>
      <c r="K10" s="54">
        <f t="shared" si="1"/>
        <v>102336.44709013411</v>
      </c>
      <c r="L10" s="56">
        <f t="shared" si="2"/>
        <v>0.80488110477293695</v>
      </c>
      <c r="M10" s="56">
        <f t="shared" si="3"/>
        <v>0.85128834645337603</v>
      </c>
    </row>
    <row r="11" spans="1:13" x14ac:dyDescent="0.2">
      <c r="A11" s="51">
        <v>5</v>
      </c>
      <c r="B11" s="51" t="s">
        <v>137</v>
      </c>
      <c r="C11" s="48">
        <f t="shared" si="4"/>
        <v>235.79999999999998</v>
      </c>
      <c r="D11" s="45">
        <f>dose_imd!T39</f>
        <v>165.56781459083388</v>
      </c>
      <c r="E11" s="45">
        <f>dose_imd!T40</f>
        <v>146.36492936060461</v>
      </c>
      <c r="F11" s="53">
        <f t="shared" si="0"/>
        <v>155.96637197571926</v>
      </c>
      <c r="G11" s="42"/>
      <c r="H11" s="49">
        <f>H6*18</f>
        <v>84762</v>
      </c>
      <c r="I11" s="47">
        <f>'dose_epx_gamme haute'!T51</f>
        <v>64413.461538461524</v>
      </c>
      <c r="J11" s="47">
        <f>'dose_epx_gamme haute'!T52</f>
        <v>67647.193766562516</v>
      </c>
      <c r="K11" s="54">
        <f t="shared" si="1"/>
        <v>66030.327652512016</v>
      </c>
      <c r="L11" s="56">
        <f t="shared" si="2"/>
        <v>0.77900860825030105</v>
      </c>
      <c r="M11" s="56">
        <f t="shared" si="3"/>
        <v>0.66143499565614616</v>
      </c>
    </row>
    <row r="12" spans="1:13" x14ac:dyDescent="0.2">
      <c r="A12" s="51">
        <v>5</v>
      </c>
      <c r="B12" s="51" t="s">
        <v>138</v>
      </c>
      <c r="C12" s="48">
        <f t="shared" si="4"/>
        <v>352.8</v>
      </c>
      <c r="D12" s="45">
        <f>dose_imd!T41</f>
        <v>335.98317598153704</v>
      </c>
      <c r="E12" s="45">
        <f>dose_imd!T42</f>
        <v>340.56660560379544</v>
      </c>
      <c r="F12" s="53">
        <f t="shared" si="0"/>
        <v>338.27489079266627</v>
      </c>
      <c r="G12" s="42"/>
      <c r="H12" s="49">
        <f>H7*18</f>
        <v>42381</v>
      </c>
      <c r="I12" s="47">
        <f>'dose_epx_gamme haute'!T49</f>
        <v>35850.282485875709</v>
      </c>
      <c r="J12" s="47">
        <f>'dose_epx_gamme haute'!T50</f>
        <v>36135.849056603773</v>
      </c>
      <c r="K12" s="54">
        <f t="shared" si="1"/>
        <v>35993.065771239737</v>
      </c>
      <c r="L12" s="56">
        <f t="shared" si="2"/>
        <v>0.84927363137348666</v>
      </c>
      <c r="M12" s="56">
        <f t="shared" si="3"/>
        <v>0.95882905553476827</v>
      </c>
    </row>
    <row r="13" spans="1:13" x14ac:dyDescent="0.2">
      <c r="A13" s="51">
        <v>5</v>
      </c>
      <c r="B13" s="51" t="s">
        <v>139</v>
      </c>
      <c r="C13" s="48">
        <f t="shared" si="4"/>
        <v>469.8</v>
      </c>
      <c r="D13" s="45">
        <f>dose_imd!T43</f>
        <v>422.82220281522177</v>
      </c>
      <c r="E13" s="45">
        <f>dose_imd!T44</f>
        <v>422.10752955719261</v>
      </c>
      <c r="F13" s="53">
        <f t="shared" si="0"/>
        <v>422.46486618620719</v>
      </c>
      <c r="G13" s="42"/>
      <c r="H13" s="49">
        <f>H8*18</f>
        <v>0</v>
      </c>
      <c r="I13" s="47">
        <f>'dose_epx_gamme basse'!T35</f>
        <v>0</v>
      </c>
      <c r="J13" s="47">
        <f>'dose_epx_gamme basse'!T36</f>
        <v>0</v>
      </c>
      <c r="K13" s="54">
        <f t="shared" si="1"/>
        <v>0</v>
      </c>
      <c r="M13" s="56">
        <f t="shared" si="3"/>
        <v>0.8992440744704282</v>
      </c>
    </row>
    <row r="15" spans="1:13" x14ac:dyDescent="0.2">
      <c r="L15" s="56">
        <f>AVERAGE(L4:L12)</f>
        <v>0.77160237618919492</v>
      </c>
      <c r="M15" s="56">
        <f>AVERAGE(M4:M13)</f>
        <v>0.79967609421320007</v>
      </c>
    </row>
  </sheetData>
  <mergeCells count="2">
    <mergeCell ref="D1:F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dose_epx_gamme basse</vt:lpstr>
      <vt:lpstr>dose_epx_gamme haute</vt:lpstr>
      <vt:lpstr>dose_imd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Lisa Gollot</cp:lastModifiedBy>
  <dcterms:created xsi:type="dcterms:W3CDTF">2025-12-02T07:26:17Z</dcterms:created>
  <dcterms:modified xsi:type="dcterms:W3CDTF">2026-05-05T07:52:33Z</dcterms:modified>
</cp:coreProperties>
</file>