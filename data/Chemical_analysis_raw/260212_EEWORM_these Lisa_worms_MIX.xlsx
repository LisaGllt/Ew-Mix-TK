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sagollot/Library/CloudStorage/OneDrive-Personnel/Documents/0_These/0_RepoGit/Ew-Mix-TK/data/Chemical_analysis_raw/"/>
    </mc:Choice>
  </mc:AlternateContent>
  <xr:revisionPtr revIDLastSave="0" documentId="13_ncr:1_{1E8F2C42-C22B-B040-BFE4-11B14A1150AE}" xr6:coauthVersionLast="47" xr6:coauthVersionMax="47" xr10:uidLastSave="{00000000-0000-0000-0000-000000000000}"/>
  <bookViews>
    <workbookView xWindow="0" yWindow="740" windowWidth="29220" windowHeight="18240" activeTab="2" xr2:uid="{00000000-000D-0000-FFFF-FFFF00000000}"/>
  </bookViews>
  <sheets>
    <sheet name="facteur récupération" sheetId="2" r:id="rId1"/>
    <sheet name="260212_these Lisa_VDT_MIX sprin" sheetId="1" r:id="rId2"/>
    <sheet name="résulta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3" l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R269" i="1"/>
  <c r="T269" i="1" s="1"/>
  <c r="T157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12" i="1"/>
  <c r="R111" i="1"/>
  <c r="T111" i="1" s="1"/>
  <c r="S236" i="1"/>
  <c r="T236" i="1" s="1"/>
  <c r="C9" i="3" s="1"/>
  <c r="S235" i="1"/>
  <c r="T235" i="1" s="1"/>
  <c r="C8" i="3" s="1"/>
  <c r="S234" i="1"/>
  <c r="T234" i="1" s="1"/>
  <c r="C7" i="3" s="1"/>
  <c r="S233" i="1"/>
  <c r="T233" i="1" s="1"/>
  <c r="C6" i="3" s="1"/>
  <c r="S232" i="1"/>
  <c r="T232" i="1" s="1"/>
  <c r="C14" i="3" s="1"/>
  <c r="S231" i="1"/>
  <c r="T231" i="1" s="1"/>
  <c r="C13" i="3" s="1"/>
  <c r="S230" i="1"/>
  <c r="T230" i="1" s="1"/>
  <c r="C12" i="3" s="1"/>
  <c r="S229" i="1"/>
  <c r="T229" i="1" s="1"/>
  <c r="C11" i="3" s="1"/>
  <c r="S228" i="1"/>
  <c r="T228" i="1" s="1"/>
  <c r="C19" i="3" s="1"/>
  <c r="S227" i="1"/>
  <c r="T227" i="1" s="1"/>
  <c r="C18" i="3" s="1"/>
  <c r="S226" i="1"/>
  <c r="T226" i="1" s="1"/>
  <c r="C17" i="3" s="1"/>
  <c r="S225" i="1"/>
  <c r="T225" i="1" s="1"/>
  <c r="C16" i="3" s="1"/>
  <c r="S224" i="1"/>
  <c r="T224" i="1" s="1"/>
  <c r="C24" i="3" s="1"/>
  <c r="S223" i="1"/>
  <c r="T223" i="1" s="1"/>
  <c r="C23" i="3" s="1"/>
  <c r="S222" i="1"/>
  <c r="T222" i="1" s="1"/>
  <c r="C22" i="3" s="1"/>
  <c r="S221" i="1"/>
  <c r="T221" i="1" s="1"/>
  <c r="C21" i="3" s="1"/>
  <c r="S220" i="1"/>
  <c r="T220" i="1" s="1"/>
  <c r="C29" i="3" s="1"/>
  <c r="S219" i="1"/>
  <c r="T219" i="1" s="1"/>
  <c r="C28" i="3" s="1"/>
  <c r="S218" i="1"/>
  <c r="T218" i="1" s="1"/>
  <c r="C27" i="3" s="1"/>
  <c r="S217" i="1"/>
  <c r="T217" i="1" s="1"/>
  <c r="C26" i="3" s="1"/>
  <c r="S216" i="1"/>
  <c r="T216" i="1" s="1"/>
  <c r="S213" i="1"/>
  <c r="T213" i="1" s="1"/>
  <c r="S212" i="1"/>
  <c r="T212" i="1" s="1"/>
  <c r="S211" i="1"/>
  <c r="T211" i="1" s="1"/>
  <c r="S210" i="1"/>
  <c r="T210" i="1" s="1"/>
  <c r="S209" i="1"/>
  <c r="T209" i="1" s="1"/>
  <c r="S208" i="1"/>
  <c r="T208" i="1" s="1"/>
  <c r="S207" i="1"/>
  <c r="T207" i="1" s="1"/>
  <c r="S206" i="1"/>
  <c r="T206" i="1" s="1"/>
  <c r="S205" i="1"/>
  <c r="T205" i="1" s="1"/>
  <c r="S204" i="1"/>
  <c r="T204" i="1" s="1"/>
  <c r="S203" i="1"/>
  <c r="T203" i="1" s="1"/>
  <c r="S202" i="1"/>
  <c r="T202" i="1" s="1"/>
  <c r="S201" i="1"/>
  <c r="T201" i="1" s="1"/>
  <c r="S200" i="1"/>
  <c r="T200" i="1" s="1"/>
  <c r="S199" i="1"/>
  <c r="T199" i="1" s="1"/>
  <c r="S198" i="1"/>
  <c r="T198" i="1" s="1"/>
  <c r="S197" i="1"/>
  <c r="T197" i="1" s="1"/>
  <c r="S196" i="1"/>
  <c r="T196" i="1" s="1"/>
  <c r="S195" i="1"/>
  <c r="T195" i="1" s="1"/>
  <c r="S194" i="1"/>
  <c r="T194" i="1" s="1"/>
  <c r="S193" i="1"/>
  <c r="T193" i="1" s="1"/>
  <c r="S192" i="1"/>
  <c r="T192" i="1" s="1"/>
  <c r="C4" i="3" s="1"/>
  <c r="S191" i="1"/>
  <c r="T191" i="1" s="1"/>
  <c r="C3" i="3" s="1"/>
  <c r="S59" i="1"/>
  <c r="T59" i="1" s="1"/>
  <c r="S60" i="1"/>
  <c r="T60" i="1" s="1"/>
  <c r="S61" i="1"/>
  <c r="T61" i="1" s="1"/>
  <c r="S62" i="1"/>
  <c r="T62" i="1" s="1"/>
  <c r="S63" i="1"/>
  <c r="T63" i="1"/>
  <c r="S64" i="1"/>
  <c r="T64" i="1" s="1"/>
  <c r="S65" i="1"/>
  <c r="T65" i="1" s="1"/>
  <c r="S66" i="1"/>
  <c r="T66" i="1" s="1"/>
  <c r="S67" i="1"/>
  <c r="T67" i="1" s="1"/>
  <c r="S68" i="1"/>
  <c r="T68" i="1" s="1"/>
  <c r="S69" i="1"/>
  <c r="T69" i="1" s="1"/>
  <c r="S70" i="1"/>
  <c r="T70" i="1"/>
  <c r="S71" i="1"/>
  <c r="T71" i="1" s="1"/>
  <c r="S72" i="1"/>
  <c r="T72" i="1" s="1"/>
  <c r="S73" i="1"/>
  <c r="T73" i="1" s="1"/>
  <c r="S74" i="1"/>
  <c r="T74" i="1"/>
  <c r="S75" i="1"/>
  <c r="T75" i="1"/>
  <c r="S76" i="1"/>
  <c r="T76" i="1" s="1"/>
  <c r="S77" i="1"/>
  <c r="T77" i="1" s="1"/>
  <c r="S78" i="1"/>
  <c r="T78" i="1" s="1"/>
  <c r="S58" i="1"/>
  <c r="T58" i="1" s="1"/>
  <c r="S34" i="1"/>
  <c r="T34" i="1" s="1"/>
  <c r="B4" i="3" s="1"/>
  <c r="S35" i="1"/>
  <c r="T35" i="1"/>
  <c r="B6" i="3" s="1"/>
  <c r="S36" i="1"/>
  <c r="T36" i="1" s="1"/>
  <c r="B7" i="3" s="1"/>
  <c r="S37" i="1"/>
  <c r="T37" i="1" s="1"/>
  <c r="B8" i="3" s="1"/>
  <c r="S38" i="1"/>
  <c r="T38" i="1"/>
  <c r="B9" i="3" s="1"/>
  <c r="S39" i="1"/>
  <c r="T39" i="1"/>
  <c r="B11" i="3" s="1"/>
  <c r="S40" i="1"/>
  <c r="T40" i="1"/>
  <c r="B12" i="3" s="1"/>
  <c r="S41" i="1"/>
  <c r="T41" i="1" s="1"/>
  <c r="B13" i="3" s="1"/>
  <c r="S42" i="1"/>
  <c r="T42" i="1" s="1"/>
  <c r="B14" i="3" s="1"/>
  <c r="S43" i="1"/>
  <c r="T43" i="1" s="1"/>
  <c r="B16" i="3" s="1"/>
  <c r="S44" i="1"/>
  <c r="T44" i="1"/>
  <c r="B17" i="3" s="1"/>
  <c r="S45" i="1"/>
  <c r="T45" i="1" s="1"/>
  <c r="B18" i="3" s="1"/>
  <c r="S46" i="1"/>
  <c r="T46" i="1"/>
  <c r="B19" i="3" s="1"/>
  <c r="S47" i="1"/>
  <c r="T47" i="1"/>
  <c r="B21" i="3" s="1"/>
  <c r="S48" i="1"/>
  <c r="T48" i="1"/>
  <c r="B22" i="3" s="1"/>
  <c r="S49" i="1"/>
  <c r="T49" i="1" s="1"/>
  <c r="B23" i="3" s="1"/>
  <c r="S50" i="1"/>
  <c r="T50" i="1" s="1"/>
  <c r="B24" i="3" s="1"/>
  <c r="S51" i="1"/>
  <c r="T51" i="1" s="1"/>
  <c r="B26" i="3" s="1"/>
  <c r="S52" i="1"/>
  <c r="T52" i="1" s="1"/>
  <c r="B27" i="3" s="1"/>
  <c r="S53" i="1"/>
  <c r="T53" i="1" s="1"/>
  <c r="B28" i="3" s="1"/>
  <c r="S54" i="1"/>
  <c r="T54" i="1"/>
  <c r="B29" i="3" s="1"/>
  <c r="S55" i="1"/>
  <c r="T55" i="1"/>
  <c r="B31" i="3" s="1"/>
  <c r="S33" i="1"/>
  <c r="T33" i="1" s="1"/>
  <c r="B3" i="3" s="1"/>
  <c r="B11" i="2"/>
  <c r="B7" i="2"/>
  <c r="B10" i="2" s="1"/>
  <c r="B5" i="2"/>
  <c r="B12" i="2" l="1"/>
  <c r="B13" i="2" s="1"/>
</calcChain>
</file>

<file path=xl/sharedStrings.xml><?xml version="1.0" encoding="utf-8"?>
<sst xmlns="http://schemas.openxmlformats.org/spreadsheetml/2006/main" count="2104" uniqueCount="827">
  <si>
    <t xml:space="preserve">Quantify Compound Summary Report </t>
  </si>
  <si>
    <t>Printed Mon Feb 16 08:16:02 2026</t>
  </si>
  <si>
    <t>Compound 1:  epoxiconazole</t>
  </si>
  <si>
    <t>Name</t>
  </si>
  <si>
    <t>Sample Text</t>
  </si>
  <si>
    <t>RT</t>
  </si>
  <si>
    <t>Type</t>
  </si>
  <si>
    <t>%Dev</t>
  </si>
  <si>
    <t>Primary Flags</t>
  </si>
  <si>
    <t>ng/l</t>
  </si>
  <si>
    <t>Area</t>
  </si>
  <si>
    <t>IS Area</t>
  </si>
  <si>
    <t>Response</t>
  </si>
  <si>
    <t>1ｺ Area</t>
  </si>
  <si>
    <t>S/N</t>
  </si>
  <si>
    <t>1ｺ Ratio (Actual)</t>
  </si>
  <si>
    <t>260212_gamme_A_0</t>
  </si>
  <si>
    <t>Standard</t>
  </si>
  <si>
    <t>bbXI</t>
  </si>
  <si>
    <t>260212_gamme_A_1</t>
  </si>
  <si>
    <t>bb</t>
  </si>
  <si>
    <t>260212_gamme_A_1bis</t>
  </si>
  <si>
    <t>260212_gamme_A_2</t>
  </si>
  <si>
    <t>260212_gamme_A_2bis</t>
  </si>
  <si>
    <t>260212_gamme_A_3</t>
  </si>
  <si>
    <t>260212_gamme_A_4</t>
  </si>
  <si>
    <t>260212_gamme_A_5</t>
  </si>
  <si>
    <t>260212_gamme_A_6</t>
  </si>
  <si>
    <t>260212_gamme_A_7</t>
  </si>
  <si>
    <t>260212_gamme_A_8</t>
  </si>
  <si>
    <t>260212_gamme_B_0</t>
  </si>
  <si>
    <t>260212_gamme_B_1</t>
  </si>
  <si>
    <t>260212_gamme_B_2</t>
  </si>
  <si>
    <t>260212_gamme_B_3</t>
  </si>
  <si>
    <t>260212_gamme_B_4</t>
  </si>
  <si>
    <t>260212_gamme_B_5</t>
  </si>
  <si>
    <t>260212_gamme_B_6</t>
  </si>
  <si>
    <t>260212_gamme_B_7</t>
  </si>
  <si>
    <t>260212_gamme_B_8</t>
  </si>
  <si>
    <t>260212_blanc_MeOH_1</t>
  </si>
  <si>
    <t>260212_blanc_MeOH_2</t>
  </si>
  <si>
    <t>260212_blanc_eau_1</t>
  </si>
  <si>
    <t>260212_blanc_eau_2</t>
  </si>
  <si>
    <t>260212_Si_vdt_dil</t>
  </si>
  <si>
    <t>260212_vdt_N01_lot_D</t>
  </si>
  <si>
    <t>tube 42</t>
  </si>
  <si>
    <t>260212_vdt_N03_lot_E</t>
  </si>
  <si>
    <t>tube 43</t>
  </si>
  <si>
    <t>260212_vdt_I2_3_2_dil20</t>
  </si>
  <si>
    <t>tube 40</t>
  </si>
  <si>
    <t>260212_vdt_I2_3_1_dil20</t>
  </si>
  <si>
    <t>tube 39</t>
  </si>
  <si>
    <t>260212_vdt_I2_1_2_dil20</t>
  </si>
  <si>
    <t>tube 38</t>
  </si>
  <si>
    <t>260212_vdt_I2_1_1_dil20</t>
  </si>
  <si>
    <t>tube 37</t>
  </si>
  <si>
    <t>260212_vdt_H2_3_2_dil20</t>
  </si>
  <si>
    <t>tube 36</t>
  </si>
  <si>
    <t>260212_vdt_H2_3_1_dil20</t>
  </si>
  <si>
    <t>tube 35</t>
  </si>
  <si>
    <t>260212_vdt_H2_1_2_dil20</t>
  </si>
  <si>
    <t>tube 34</t>
  </si>
  <si>
    <t>260212_vdt_H2_1_1_dil20</t>
  </si>
  <si>
    <t>tube 33</t>
  </si>
  <si>
    <t>260212_vdt_G2_3_2_dil20</t>
  </si>
  <si>
    <t>tube 32</t>
  </si>
  <si>
    <t>260212_vdt_G2_3_1_dil20</t>
  </si>
  <si>
    <t>tube 31</t>
  </si>
  <si>
    <t>260212_vdt_G2_1_2_dil20</t>
  </si>
  <si>
    <t>tube 30</t>
  </si>
  <si>
    <t>260212_vdt_G2_1_1_dil20</t>
  </si>
  <si>
    <t>tube 29</t>
  </si>
  <si>
    <t>260212_vdt_F2_3_2_dil20</t>
  </si>
  <si>
    <t>tube 28</t>
  </si>
  <si>
    <t>260212_vdt_F2_3_1_dil20</t>
  </si>
  <si>
    <t>tube 27</t>
  </si>
  <si>
    <t>260212_vdt_F2_1_2_dil20</t>
  </si>
  <si>
    <t>tube 26</t>
  </si>
  <si>
    <t>260212_vdt_F2_1_1_dil20</t>
  </si>
  <si>
    <t>tube 25</t>
  </si>
  <si>
    <t>260212_vdt_E2_3_2_dil20</t>
  </si>
  <si>
    <t>tube 24</t>
  </si>
  <si>
    <t>260212_vdt_E2_3_1_dil20</t>
  </si>
  <si>
    <t>tube 23</t>
  </si>
  <si>
    <t>260212_vdt_E2_1_2_dil20</t>
  </si>
  <si>
    <t>tube 22</t>
  </si>
  <si>
    <t>260212_vdt_E2_1_1_dil20</t>
  </si>
  <si>
    <t>tube 21</t>
  </si>
  <si>
    <t>260212_vdt_E5_3_2_dil100</t>
  </si>
  <si>
    <t>tube 41</t>
  </si>
  <si>
    <t>260212_blanc_eau_3</t>
  </si>
  <si>
    <t>260212_blanc_eau_4</t>
  </si>
  <si>
    <t>260212_vdt_E5_3_2_dil20</t>
  </si>
  <si>
    <t>bbIO</t>
  </si>
  <si>
    <t>260212_vdt_E2_3_2_non_dil</t>
  </si>
  <si>
    <t>260212_vdt_E2_3_1_non_dil</t>
  </si>
  <si>
    <t>260212_vdt_E2_1_2_non_dil</t>
  </si>
  <si>
    <t>260212_vdt_E2_1_1_non_dil</t>
  </si>
  <si>
    <t>260212_vdt_F2_3_2_non_dil</t>
  </si>
  <si>
    <t>260212_vdt_F2_3_1_non_dil</t>
  </si>
  <si>
    <t>260212_vdt_F2_1_2_non_dil</t>
  </si>
  <si>
    <t>260212_vdt_F2_1_1_non_dil</t>
  </si>
  <si>
    <t>260212_vdt_G2_3_2_non_dil</t>
  </si>
  <si>
    <t>260212_vdt_G2_3_1_non_dil</t>
  </si>
  <si>
    <t>260212_vdt_G2_1_2_non_dil</t>
  </si>
  <si>
    <t>260212_vdt_G2_1_1_non_dil</t>
  </si>
  <si>
    <t>260212_vdt_H2_3_2_non_dil</t>
  </si>
  <si>
    <t>260212_vdt_H2_3_1_non_dil</t>
  </si>
  <si>
    <t>260212_vdt_H2_1_2_non_dil</t>
  </si>
  <si>
    <t>260212_vdt_H2_1_1_non_dil</t>
  </si>
  <si>
    <t>260212_vdt_I2_3_2_non_dil</t>
  </si>
  <si>
    <t>260212_vdt_I2_3_1_non_dil</t>
  </si>
  <si>
    <t>260212_vdt_I2_1_2_non_dil</t>
  </si>
  <si>
    <t>260212_vdt_I2_1_1_non_dil</t>
  </si>
  <si>
    <t>260212_blanc_MeOH_3</t>
  </si>
  <si>
    <t>260212_blanc_MeOH_4</t>
  </si>
  <si>
    <t>260212_blanc_eau_5</t>
  </si>
  <si>
    <t>260212_blanc_eau_6</t>
  </si>
  <si>
    <t>Compound 2:  epoxiconazole-d5</t>
  </si>
  <si>
    <t>MM</t>
  </si>
  <si>
    <t>Compound 3:  Imidaclopride</t>
  </si>
  <si>
    <t>Compound 4:  Imidaclopride-d4</t>
  </si>
  <si>
    <t>Std , Conc</t>
  </si>
  <si>
    <t>10 ,20</t>
  </si>
  <si>
    <t>0 ,250</t>
  </si>
  <si>
    <t>0 ,48</t>
  </si>
  <si>
    <t>312 ,6</t>
  </si>
  <si>
    <t>1 ,63</t>
  </si>
  <si>
    <t>4 ,050</t>
  </si>
  <si>
    <t>5 ,63</t>
  </si>
  <si>
    <t>2821 ,7</t>
  </si>
  <si>
    <t>4 ,20</t>
  </si>
  <si>
    <t>10 ,19</t>
  </si>
  <si>
    <t>5 ,73</t>
  </si>
  <si>
    <t>4153 ,7</t>
  </si>
  <si>
    <t>4 ,23</t>
  </si>
  <si>
    <t>14 ,170</t>
  </si>
  <si>
    <t>19 ,54</t>
  </si>
  <si>
    <t>7567 ,5</t>
  </si>
  <si>
    <t>4 ,78</t>
  </si>
  <si>
    <t>19 ,90</t>
  </si>
  <si>
    <t>7908 ,4</t>
  </si>
  <si>
    <t>4 ,81</t>
  </si>
  <si>
    <t>80 ,960</t>
  </si>
  <si>
    <t>116 ,48</t>
  </si>
  <si>
    <t>101827 ,1</t>
  </si>
  <si>
    <t>5 ,11</t>
  </si>
  <si>
    <t>161 ,920</t>
  </si>
  <si>
    <t>223 ,48</t>
  </si>
  <si>
    <t>86480 ,7</t>
  </si>
  <si>
    <t>5 ,05</t>
  </si>
  <si>
    <t>404 ,800</t>
  </si>
  <si>
    <t>543 ,47</t>
  </si>
  <si>
    <t>175409 ,1</t>
  </si>
  <si>
    <t>5 ,07</t>
  </si>
  <si>
    <t>1012 ,000</t>
  </si>
  <si>
    <t>1259 ,12</t>
  </si>
  <si>
    <t>440210 ,9</t>
  </si>
  <si>
    <t>4 ,86</t>
  </si>
  <si>
    <t>3036 ,000</t>
  </si>
  <si>
    <t>3256 ,16</t>
  </si>
  <si>
    <t>5895260 ,1</t>
  </si>
  <si>
    <t>4 ,66</t>
  </si>
  <si>
    <t>5060 ,000</t>
  </si>
  <si>
    <t>4795 ,68</t>
  </si>
  <si>
    <t>1136140672 ,0</t>
  </si>
  <si>
    <t>4 ,47</t>
  </si>
  <si>
    <t>0 ,88</t>
  </si>
  <si>
    <t>308 ,6</t>
  </si>
  <si>
    <t>2 ,51</t>
  </si>
  <si>
    <t>6 ,11</t>
  </si>
  <si>
    <t>1229 ,3</t>
  </si>
  <si>
    <t>4 ,35</t>
  </si>
  <si>
    <t>21 ,22</t>
  </si>
  <si>
    <t>8565 ,8</t>
  </si>
  <si>
    <t>4 ,90</t>
  </si>
  <si>
    <t>116 ,71</t>
  </si>
  <si>
    <t>53466 ,9</t>
  </si>
  <si>
    <t>226 ,73</t>
  </si>
  <si>
    <t>262467 ,7</t>
  </si>
  <si>
    <t>555 ,26</t>
  </si>
  <si>
    <t>3700769 ,4</t>
  </si>
  <si>
    <t>1268 ,74</t>
  </si>
  <si>
    <t>395978912 ,0</t>
  </si>
  <si>
    <t>4 ,88</t>
  </si>
  <si>
    <t>3278 ,84</t>
  </si>
  <si>
    <t>845784832 ,0</t>
  </si>
  <si>
    <t>4 ,67</t>
  </si>
  <si>
    <t>4904 ,13</t>
  </si>
  <si>
    <t>1105205376 ,0</t>
  </si>
  <si>
    <t>4 ,55</t>
  </si>
  <si>
    <t>1079 ,3</t>
  </si>
  <si>
    <t>304 ,6</t>
  </si>
  <si>
    <t>4 ,50</t>
  </si>
  <si>
    <t>118 ,1</t>
  </si>
  <si>
    <t>4 ,48</t>
  </si>
  <si>
    <t>213 ,5</t>
  </si>
  <si>
    <t>4 ,29</t>
  </si>
  <si>
    <t>465 ,7</t>
  </si>
  <si>
    <t>0 ,70</t>
  </si>
  <si>
    <t>156 ,01</t>
  </si>
  <si>
    <t>92261 ,8</t>
  </si>
  <si>
    <t>5 ,13</t>
  </si>
  <si>
    <t>79 ,56</t>
  </si>
  <si>
    <t>6939 ,7</t>
  </si>
  <si>
    <t>5 ,10</t>
  </si>
  <si>
    <t>23 ,73</t>
  </si>
  <si>
    <t>26264 ,4</t>
  </si>
  <si>
    <t>4 ,92</t>
  </si>
  <si>
    <t>21 ,20</t>
  </si>
  <si>
    <t>24902 ,5</t>
  </si>
  <si>
    <t>4 ,84</t>
  </si>
  <si>
    <t>47 ,53</t>
  </si>
  <si>
    <t>23157 ,9</t>
  </si>
  <si>
    <t>5 ,06</t>
  </si>
  <si>
    <t>68 ,98</t>
  </si>
  <si>
    <t>32887 ,0</t>
  </si>
  <si>
    <t>112 ,14</t>
  </si>
  <si>
    <t>74799 ,0</t>
  </si>
  <si>
    <t>5 ,08</t>
  </si>
  <si>
    <t>147 ,86</t>
  </si>
  <si>
    <t>271088 ,0</t>
  </si>
  <si>
    <t>97 ,54</t>
  </si>
  <si>
    <t>113351 ,5</t>
  </si>
  <si>
    <t>5 ,12</t>
  </si>
  <si>
    <t>112 ,01</t>
  </si>
  <si>
    <t>389940 ,1</t>
  </si>
  <si>
    <t>2090 ,25</t>
  </si>
  <si>
    <t>589271296 ,0</t>
  </si>
  <si>
    <t>4 ,74</t>
  </si>
  <si>
    <t>2687 ,41</t>
  </si>
  <si>
    <t>717671616 ,0</t>
  </si>
  <si>
    <t>4 ,75</t>
  </si>
  <si>
    <t>209 ,82</t>
  </si>
  <si>
    <t>282552 ,6</t>
  </si>
  <si>
    <t>5 ,14</t>
  </si>
  <si>
    <t>121 ,63</t>
  </si>
  <si>
    <t>160168 ,8</t>
  </si>
  <si>
    <t>4 ,95</t>
  </si>
  <si>
    <t>325 ,78</t>
  </si>
  <si>
    <t>160721 ,8</t>
  </si>
  <si>
    <t>5 ,09</t>
  </si>
  <si>
    <t>368 ,77</t>
  </si>
  <si>
    <t>249061 ,3</t>
  </si>
  <si>
    <t>251 ,97</t>
  </si>
  <si>
    <t>180190 ,0</t>
  </si>
  <si>
    <t>297 ,01</t>
  </si>
  <si>
    <t>100357752 ,0</t>
  </si>
  <si>
    <t>490 ,00</t>
  </si>
  <si>
    <t>166315904 ,0</t>
  </si>
  <si>
    <t>456 ,27</t>
  </si>
  <si>
    <t>149810960 ,0</t>
  </si>
  <si>
    <t>315 ,29</t>
  </si>
  <si>
    <t>393238 ,2</t>
  </si>
  <si>
    <t>365 ,35</t>
  </si>
  <si>
    <t>89369 ,3</t>
  </si>
  <si>
    <t>1413 ,96</t>
  </si>
  <si>
    <t>2041887 ,8</t>
  </si>
  <si>
    <t>4 ,73</t>
  </si>
  <si>
    <t>2937 ,8</t>
  </si>
  <si>
    <t>4 ,93</t>
  </si>
  <si>
    <t>751 ,3</t>
  </si>
  <si>
    <t>4 ,44</t>
  </si>
  <si>
    <t>6893 ,46</t>
  </si>
  <si>
    <t>1169233536 ,0</t>
  </si>
  <si>
    <t>4 ,26</t>
  </si>
  <si>
    <t>10485 ,16</t>
  </si>
  <si>
    <t>1432365 ,8</t>
  </si>
  <si>
    <t>4 ,46</t>
  </si>
  <si>
    <t>9765 ,54</t>
  </si>
  <si>
    <t>930305472 ,0</t>
  </si>
  <si>
    <t>7043 ,82</t>
  </si>
  <si>
    <t>687935936 ,0</t>
  </si>
  <si>
    <t>7983 ,06</t>
  </si>
  <si>
    <t>1711501 ,6</t>
  </si>
  <si>
    <t>4 ,52</t>
  </si>
  <si>
    <t>7523 ,61</t>
  </si>
  <si>
    <t>678670528 ,0</t>
  </si>
  <si>
    <t>8137 ,14</t>
  </si>
  <si>
    <t>789248448 ,0</t>
  </si>
  <si>
    <t>5427 ,01</t>
  </si>
  <si>
    <t>651308992 ,0</t>
  </si>
  <si>
    <t>4 ,59</t>
  </si>
  <si>
    <t>6525 ,87</t>
  </si>
  <si>
    <t>695422976 ,0</t>
  </si>
  <si>
    <t>32613 ,65</t>
  </si>
  <si>
    <t>1247249280 ,0</t>
  </si>
  <si>
    <t>3 ,18</t>
  </si>
  <si>
    <t>40850 ,56</t>
  </si>
  <si>
    <t>1244923520 ,0</t>
  </si>
  <si>
    <t>3 ,08</t>
  </si>
  <si>
    <t>4655 ,11</t>
  </si>
  <si>
    <t>310696 ,0</t>
  </si>
  <si>
    <t>2951 ,46</t>
  </si>
  <si>
    <t>324290240 ,0</t>
  </si>
  <si>
    <t>4 ,54</t>
  </si>
  <si>
    <t>2491 ,23</t>
  </si>
  <si>
    <t>335957504 ,0</t>
  </si>
  <si>
    <t>3277 ,85</t>
  </si>
  <si>
    <t>521800 ,2</t>
  </si>
  <si>
    <t>4 ,71</t>
  </si>
  <si>
    <t>2162 ,10</t>
  </si>
  <si>
    <t>1422082 ,0</t>
  </si>
  <si>
    <t>4 ,68</t>
  </si>
  <si>
    <t>2451 ,35</t>
  </si>
  <si>
    <t>243993 ,4</t>
  </si>
  <si>
    <t>4 ,70</t>
  </si>
  <si>
    <t>547 ,29</t>
  </si>
  <si>
    <t>103585 ,1</t>
  </si>
  <si>
    <t>4 ,27</t>
  </si>
  <si>
    <t>490 ,22</t>
  </si>
  <si>
    <t>58105 ,0</t>
  </si>
  <si>
    <t>1080 ,51</t>
  </si>
  <si>
    <t>161021264 ,0</t>
  </si>
  <si>
    <t>1557 ,14</t>
  </si>
  <si>
    <t>203477920 ,0</t>
  </si>
  <si>
    <t>4 ,58</t>
  </si>
  <si>
    <t>543 ,3</t>
  </si>
  <si>
    <t>4 ,38</t>
  </si>
  <si>
    <t>62 ,9</t>
  </si>
  <si>
    <t>4 ,65</t>
  </si>
  <si>
    <t>204 ,2</t>
  </si>
  <si>
    <t>4 ,49</t>
  </si>
  <si>
    <t>220 ,5</t>
  </si>
  <si>
    <t>4 ,06</t>
  </si>
  <si>
    <t>10 ,17</t>
  </si>
  <si>
    <t>181 ,660</t>
  </si>
  <si>
    <t>3962876 ,50</t>
  </si>
  <si>
    <t>221926 ,9</t>
  </si>
  <si>
    <t>3964507 ,25</t>
  </si>
  <si>
    <t>175383 ,2</t>
  </si>
  <si>
    <t>3793411 ,75</t>
  </si>
  <si>
    <t>345574 ,9</t>
  </si>
  <si>
    <t>3747721 ,25</t>
  </si>
  <si>
    <t>98357 ,0</t>
  </si>
  <si>
    <t>3702092 ,25</t>
  </si>
  <si>
    <t>302336 ,9</t>
  </si>
  <si>
    <t>3690651 ,75</t>
  </si>
  <si>
    <t>582187 ,4</t>
  </si>
  <si>
    <t>3770915 ,75</t>
  </si>
  <si>
    <t>184878 ,2</t>
  </si>
  <si>
    <t>3788244 ,50</t>
  </si>
  <si>
    <t>352107 ,5</t>
  </si>
  <si>
    <t>3684349 ,50</t>
  </si>
  <si>
    <t>104108 ,3</t>
  </si>
  <si>
    <t>3375659 ,25</t>
  </si>
  <si>
    <t>96277 ,4</t>
  </si>
  <si>
    <t>3201932 ,50</t>
  </si>
  <si>
    <t>45680796 ,0</t>
  </si>
  <si>
    <t>3528143 ,50</t>
  </si>
  <si>
    <t>28854 ,2</t>
  </si>
  <si>
    <t>3787349 ,00</t>
  </si>
  <si>
    <t>212592 ,5</t>
  </si>
  <si>
    <t>3755985 ,50</t>
  </si>
  <si>
    <t>146429 ,8</t>
  </si>
  <si>
    <t>3895255 ,25</t>
  </si>
  <si>
    <t>135235 ,5</t>
  </si>
  <si>
    <t>3890723 ,25</t>
  </si>
  <si>
    <t>228811 ,8</t>
  </si>
  <si>
    <t>3876624 ,50</t>
  </si>
  <si>
    <t>106543 ,7</t>
  </si>
  <si>
    <t>3760398 ,75</t>
  </si>
  <si>
    <t>97124 ,2</t>
  </si>
  <si>
    <t>3359546 ,00</t>
  </si>
  <si>
    <t>87421 ,1</t>
  </si>
  <si>
    <t>3060983 ,50</t>
  </si>
  <si>
    <t>159326 ,5</t>
  </si>
  <si>
    <t>10 ,18</t>
  </si>
  <si>
    <t>1765 ,63</t>
  </si>
  <si>
    <t>71 ,6</t>
  </si>
  <si>
    <t>601 ,15</t>
  </si>
  <si>
    <t>47 ,9</t>
  </si>
  <si>
    <t>543 ,24</t>
  </si>
  <si>
    <t>50 ,7</t>
  </si>
  <si>
    <t>387 ,50</t>
  </si>
  <si>
    <t>30 ,7</t>
  </si>
  <si>
    <t>5117799 ,00</t>
  </si>
  <si>
    <t>125684 ,0</t>
  </si>
  <si>
    <t>181 ,620</t>
  </si>
  <si>
    <t>3614948 ,00</t>
  </si>
  <si>
    <t>161365 ,1</t>
  </si>
  <si>
    <t>3658882 ,50</t>
  </si>
  <si>
    <t>71222 ,4</t>
  </si>
  <si>
    <t>3761735 ,75</t>
  </si>
  <si>
    <t>165571 ,7</t>
  </si>
  <si>
    <t>3833421 ,50</t>
  </si>
  <si>
    <t>295828 ,7</t>
  </si>
  <si>
    <t>4013217 ,00</t>
  </si>
  <si>
    <t>174494 ,8</t>
  </si>
  <si>
    <t>4081179 ,50</t>
  </si>
  <si>
    <t>138808 ,0</t>
  </si>
  <si>
    <t>3899976 ,00</t>
  </si>
  <si>
    <t>62411412 ,0</t>
  </si>
  <si>
    <t>3670139 ,75</t>
  </si>
  <si>
    <t>123650 ,0</t>
  </si>
  <si>
    <t>3848983 ,25</t>
  </si>
  <si>
    <t>61080644 ,0</t>
  </si>
  <si>
    <t>3898924 ,75</t>
  </si>
  <si>
    <t>22242 ,5</t>
  </si>
  <si>
    <t>3537349 ,75</t>
  </si>
  <si>
    <t>110101 ,5</t>
  </si>
  <si>
    <t>3432049 ,75</t>
  </si>
  <si>
    <t>192853 ,4</t>
  </si>
  <si>
    <t>3906491 ,75</t>
  </si>
  <si>
    <t>162972 ,5</t>
  </si>
  <si>
    <t>363 ,240</t>
  </si>
  <si>
    <t>7747877 ,00</t>
  </si>
  <si>
    <t>251555 ,7</t>
  </si>
  <si>
    <t>7160736 ,50</t>
  </si>
  <si>
    <t>145269 ,8</t>
  </si>
  <si>
    <t>3911651 ,00</t>
  </si>
  <si>
    <t>58606 ,6</t>
  </si>
  <si>
    <t>3824772 ,50</t>
  </si>
  <si>
    <t>158707 ,5</t>
  </si>
  <si>
    <t>3842052 ,00</t>
  </si>
  <si>
    <t>91847 ,4</t>
  </si>
  <si>
    <t>3881726 ,00</t>
  </si>
  <si>
    <t>61187104 ,0</t>
  </si>
  <si>
    <t>3765377 ,00</t>
  </si>
  <si>
    <t>190201 ,0</t>
  </si>
  <si>
    <t>3928725 ,00</t>
  </si>
  <si>
    <t>74867 ,7</t>
  </si>
  <si>
    <t>3870012 ,75</t>
  </si>
  <si>
    <t>50352 ,1</t>
  </si>
  <si>
    <t>36 ,320</t>
  </si>
  <si>
    <t>922611 ,88</t>
  </si>
  <si>
    <t>62694 ,7</t>
  </si>
  <si>
    <t>1845 ,75</t>
  </si>
  <si>
    <t>138 ,8</t>
  </si>
  <si>
    <t>871 ,92</t>
  </si>
  <si>
    <t>52 ,6</t>
  </si>
  <si>
    <t>2417558 ,75</t>
  </si>
  <si>
    <t>23703 ,0</t>
  </si>
  <si>
    <t>3632 ,430</t>
  </si>
  <si>
    <t>25656948 ,00</t>
  </si>
  <si>
    <t>377363584 ,0</t>
  </si>
  <si>
    <t>25808964 ,00</t>
  </si>
  <si>
    <t>137359 ,9</t>
  </si>
  <si>
    <t>25451846 ,00</t>
  </si>
  <si>
    <t>373514944 ,0</t>
  </si>
  <si>
    <t>25446148 ,00</t>
  </si>
  <si>
    <t>372063712 ,0</t>
  </si>
  <si>
    <t>7264 ,860</t>
  </si>
  <si>
    <t>47137000 ,00</t>
  </si>
  <si>
    <t>655862528 ,0</t>
  </si>
  <si>
    <t>25673806 ,00</t>
  </si>
  <si>
    <t>376168320 ,0</t>
  </si>
  <si>
    <t>30587276 ,00</t>
  </si>
  <si>
    <t>440885568 ,0</t>
  </si>
  <si>
    <t>27477638 ,00</t>
  </si>
  <si>
    <t>399743104 ,0</t>
  </si>
  <si>
    <t>10 ,16</t>
  </si>
  <si>
    <t>15516010 ,00</t>
  </si>
  <si>
    <t>239207424 ,0</t>
  </si>
  <si>
    <t>12855807 ,00</t>
  </si>
  <si>
    <t>198596720 ,0</t>
  </si>
  <si>
    <t>26697154 ,00</t>
  </si>
  <si>
    <t>382588416 ,0</t>
  </si>
  <si>
    <t>55094540 ,00</t>
  </si>
  <si>
    <t>89510 ,7</t>
  </si>
  <si>
    <t>33735848 ,00</t>
  </si>
  <si>
    <t>323344 ,0</t>
  </si>
  <si>
    <t>32352126 ,00</t>
  </si>
  <si>
    <t>461706272 ,0</t>
  </si>
  <si>
    <t>31298216 ,00</t>
  </si>
  <si>
    <t>443659840 ,0</t>
  </si>
  <si>
    <t>38145156 ,00</t>
  </si>
  <si>
    <t>58810 ,0</t>
  </si>
  <si>
    <t>38123724 ,00</t>
  </si>
  <si>
    <t>535637248 ,0</t>
  </si>
  <si>
    <t>39074100 ,00</t>
  </si>
  <si>
    <t>547542720 ,0</t>
  </si>
  <si>
    <t>37634176 ,00</t>
  </si>
  <si>
    <t>527744480 ,0</t>
  </si>
  <si>
    <t>32832794 ,00</t>
  </si>
  <si>
    <t>461225600 ,0</t>
  </si>
  <si>
    <t>26149 ,70</t>
  </si>
  <si>
    <t>1271 ,6</t>
  </si>
  <si>
    <t>10374 ,80</t>
  </si>
  <si>
    <t>731 ,7</t>
  </si>
  <si>
    <t>9256 ,12</t>
  </si>
  <si>
    <t>207 ,6</t>
  </si>
  <si>
    <t>6608 ,64</t>
  </si>
  <si>
    <t>533 ,3</t>
  </si>
  <si>
    <t>6 ,06</t>
  </si>
  <si>
    <t>0 ,45</t>
  </si>
  <si>
    <t>98 ,1</t>
  </si>
  <si>
    <t>0 ,73</t>
  </si>
  <si>
    <t>7 ,12</t>
  </si>
  <si>
    <t>1288 ,5</t>
  </si>
  <si>
    <t>0 ,98</t>
  </si>
  <si>
    <t>7 ,27</t>
  </si>
  <si>
    <t>1115 ,5</t>
  </si>
  <si>
    <t>1 ,00</t>
  </si>
  <si>
    <t>26 ,24</t>
  </si>
  <si>
    <t>6253 ,4</t>
  </si>
  <si>
    <t>6 ,07</t>
  </si>
  <si>
    <t>26 ,22</t>
  </si>
  <si>
    <t>4496 ,0</t>
  </si>
  <si>
    <t>0 ,97</t>
  </si>
  <si>
    <t>157 ,32</t>
  </si>
  <si>
    <t>9074 ,0</t>
  </si>
  <si>
    <t>0 ,99</t>
  </si>
  <si>
    <t>303 ,83</t>
  </si>
  <si>
    <t>38569 ,2</t>
  </si>
  <si>
    <t>712 ,60</t>
  </si>
  <si>
    <t>124948 ,7</t>
  </si>
  <si>
    <t>0 ,93</t>
  </si>
  <si>
    <t>1849 ,76</t>
  </si>
  <si>
    <t>205818 ,6</t>
  </si>
  <si>
    <t>4769 ,41</t>
  </si>
  <si>
    <t>213405 ,3</t>
  </si>
  <si>
    <t>7313 ,57</t>
  </si>
  <si>
    <t>658238 ,1</t>
  </si>
  <si>
    <t>0 ,52</t>
  </si>
  <si>
    <t>35 ,1</t>
  </si>
  <si>
    <t>0 ,77</t>
  </si>
  <si>
    <t>7 ,24</t>
  </si>
  <si>
    <t>924 ,6</t>
  </si>
  <si>
    <t>0 ,95</t>
  </si>
  <si>
    <t>26 ,42</t>
  </si>
  <si>
    <t>2544 ,1</t>
  </si>
  <si>
    <t>161 ,10</t>
  </si>
  <si>
    <t>13400 ,9</t>
  </si>
  <si>
    <t>1 ,04</t>
  </si>
  <si>
    <t>295 ,86</t>
  </si>
  <si>
    <t>25500 ,8</t>
  </si>
  <si>
    <t>767 ,31</t>
  </si>
  <si>
    <t>83085 ,8</t>
  </si>
  <si>
    <t>1881 ,13</t>
  </si>
  <si>
    <t>59094 ,9</t>
  </si>
  <si>
    <t>1 ,05</t>
  </si>
  <si>
    <t>5099 ,03</t>
  </si>
  <si>
    <t>253310 ,6</t>
  </si>
  <si>
    <t>7030 ,93</t>
  </si>
  <si>
    <t>577003 ,8</t>
  </si>
  <si>
    <t>40 ,7</t>
  </si>
  <si>
    <t>0 ,86</t>
  </si>
  <si>
    <t>15 ,1</t>
  </si>
  <si>
    <t>5 ,98</t>
  </si>
  <si>
    <t>27 ,4</t>
  </si>
  <si>
    <t>28 ,2</t>
  </si>
  <si>
    <t>1 ,18</t>
  </si>
  <si>
    <t>19 ,73</t>
  </si>
  <si>
    <t>227 ,5</t>
  </si>
  <si>
    <t>0 ,92</t>
  </si>
  <si>
    <t>17 ,42</t>
  </si>
  <si>
    <t>332 ,6</t>
  </si>
  <si>
    <t>1 ,03</t>
  </si>
  <si>
    <t>124 ,36</t>
  </si>
  <si>
    <t>16158 ,9</t>
  </si>
  <si>
    <t>125 ,96</t>
  </si>
  <si>
    <t>15161 ,6</t>
  </si>
  <si>
    <t>0 ,94</t>
  </si>
  <si>
    <t>114 ,94</t>
  </si>
  <si>
    <t>15241 ,5</t>
  </si>
  <si>
    <t>98 ,13</t>
  </si>
  <si>
    <t>23316 ,2</t>
  </si>
  <si>
    <t>112 ,86</t>
  </si>
  <si>
    <t>25633 ,6</t>
  </si>
  <si>
    <t>133 ,11</t>
  </si>
  <si>
    <t>61894 ,0</t>
  </si>
  <si>
    <t>1 ,06</t>
  </si>
  <si>
    <t>66 ,88</t>
  </si>
  <si>
    <t>9131 ,6</t>
  </si>
  <si>
    <t>79 ,50</t>
  </si>
  <si>
    <t>11582 ,2</t>
  </si>
  <si>
    <t>80 ,17</t>
  </si>
  <si>
    <t>14552 ,7</t>
  </si>
  <si>
    <t>71 ,04</t>
  </si>
  <si>
    <t>4505 ,4</t>
  </si>
  <si>
    <t>78 ,76</t>
  </si>
  <si>
    <t>8109 ,2</t>
  </si>
  <si>
    <t>61 ,39</t>
  </si>
  <si>
    <t>11100 ,1</t>
  </si>
  <si>
    <t>39 ,28</t>
  </si>
  <si>
    <t>6001 ,9</t>
  </si>
  <si>
    <t>35 ,89</t>
  </si>
  <si>
    <t>3995 ,2</t>
  </si>
  <si>
    <t>41 ,37</t>
  </si>
  <si>
    <t>9552 ,5</t>
  </si>
  <si>
    <t>39 ,27</t>
  </si>
  <si>
    <t>3877 ,6</t>
  </si>
  <si>
    <t>195 ,7</t>
  </si>
  <si>
    <t>84 ,3</t>
  </si>
  <si>
    <t>5 ,21</t>
  </si>
  <si>
    <t>1130 ,0</t>
  </si>
  <si>
    <t>5 ,96</t>
  </si>
  <si>
    <t>1591 ,3</t>
  </si>
  <si>
    <t>0 ,96</t>
  </si>
  <si>
    <t>0 ,30</t>
  </si>
  <si>
    <t>21 ,6</t>
  </si>
  <si>
    <t>0 ,83</t>
  </si>
  <si>
    <t>110 ,0</t>
  </si>
  <si>
    <t>0 ,57</t>
  </si>
  <si>
    <t>17 ,13</t>
  </si>
  <si>
    <t>290 ,1</t>
  </si>
  <si>
    <t>2 ,04</t>
  </si>
  <si>
    <t>16 ,24</t>
  </si>
  <si>
    <t>216 ,5</t>
  </si>
  <si>
    <t>0 ,39</t>
  </si>
  <si>
    <t>100 ,36</t>
  </si>
  <si>
    <t>1410 ,9</t>
  </si>
  <si>
    <t>0 ,90</t>
  </si>
  <si>
    <t>121 ,74</t>
  </si>
  <si>
    <t>2139 ,2</t>
  </si>
  <si>
    <t>747 ,35</t>
  </si>
  <si>
    <t>11974 ,6</t>
  </si>
  <si>
    <t>757 ,85</t>
  </si>
  <si>
    <t>7303 ,8</t>
  </si>
  <si>
    <t>807 ,54</t>
  </si>
  <si>
    <t>12810 ,1</t>
  </si>
  <si>
    <t>769 ,03</t>
  </si>
  <si>
    <t>21962 ,4</t>
  </si>
  <si>
    <t>0 ,89</t>
  </si>
  <si>
    <t>1544 ,91</t>
  </si>
  <si>
    <t>30270 ,7</t>
  </si>
  <si>
    <t>1438 ,55</t>
  </si>
  <si>
    <t>50807 ,9</t>
  </si>
  <si>
    <t>1573 ,27</t>
  </si>
  <si>
    <t>33362 ,4</t>
  </si>
  <si>
    <t>1212 ,46</t>
  </si>
  <si>
    <t>10258 ,5</t>
  </si>
  <si>
    <t>2238 ,40</t>
  </si>
  <si>
    <t>82267 ,1</t>
  </si>
  <si>
    <t>2559 ,91</t>
  </si>
  <si>
    <t>18319 ,6</t>
  </si>
  <si>
    <t>1359 ,09</t>
  </si>
  <si>
    <t>32630 ,6</t>
  </si>
  <si>
    <t>1543 ,72</t>
  </si>
  <si>
    <t>24406 ,0</t>
  </si>
  <si>
    <t>0 ,91</t>
  </si>
  <si>
    <t>2328 ,06</t>
  </si>
  <si>
    <t>62622 ,9</t>
  </si>
  <si>
    <t>2506 ,55</t>
  </si>
  <si>
    <t>215761 ,1</t>
  </si>
  <si>
    <t>2274 ,42</t>
  </si>
  <si>
    <t>151069 ,5</t>
  </si>
  <si>
    <t>2066 ,20</t>
  </si>
  <si>
    <t>37795 ,3</t>
  </si>
  <si>
    <t>6 ,05</t>
  </si>
  <si>
    <t>181 ,920</t>
  </si>
  <si>
    <t>708836 ,94</t>
  </si>
  <si>
    <t>11830 ,0</t>
  </si>
  <si>
    <t>6 ,04</t>
  </si>
  <si>
    <t>712428 ,63</t>
  </si>
  <si>
    <t>23678 ,0</t>
  </si>
  <si>
    <t>699593 ,13</t>
  </si>
  <si>
    <t>23326 ,9</t>
  </si>
  <si>
    <t>674975 ,50</t>
  </si>
  <si>
    <t>19762 ,6</t>
  </si>
  <si>
    <t>658356 ,13</t>
  </si>
  <si>
    <t>7666 ,7</t>
  </si>
  <si>
    <t>639873 ,31</t>
  </si>
  <si>
    <t>19769 ,0</t>
  </si>
  <si>
    <t>638716 ,69</t>
  </si>
  <si>
    <t>9408 ,7</t>
  </si>
  <si>
    <t>614730 ,88</t>
  </si>
  <si>
    <t>17021 ,2</t>
  </si>
  <si>
    <t>572232 ,88</t>
  </si>
  <si>
    <t>35869 ,2</t>
  </si>
  <si>
    <t>539146 ,44</t>
  </si>
  <si>
    <t>11870 ,0</t>
  </si>
  <si>
    <t>553955 ,06</t>
  </si>
  <si>
    <t>6230 ,1</t>
  </si>
  <si>
    <t>563120 ,31</t>
  </si>
  <si>
    <t>12759 ,4</t>
  </si>
  <si>
    <t>603226 ,69</t>
  </si>
  <si>
    <t>20334 ,9</t>
  </si>
  <si>
    <t>598584 ,19</t>
  </si>
  <si>
    <t>9636 ,0</t>
  </si>
  <si>
    <t>600946 ,63</t>
  </si>
  <si>
    <t>24864 ,6</t>
  </si>
  <si>
    <t>598994 ,75</t>
  </si>
  <si>
    <t>18574 ,3</t>
  </si>
  <si>
    <t>581209 ,81</t>
  </si>
  <si>
    <t>13321 ,4</t>
  </si>
  <si>
    <t>529946 ,00</t>
  </si>
  <si>
    <t>11120 ,7</t>
  </si>
  <si>
    <t>504923 ,84</t>
  </si>
  <si>
    <t>9647 ,7</t>
  </si>
  <si>
    <t>514366 ,31</t>
  </si>
  <si>
    <t>8175 ,7</t>
  </si>
  <si>
    <t>885827 ,19</t>
  </si>
  <si>
    <t>14035 ,3</t>
  </si>
  <si>
    <t>181 ,880</t>
  </si>
  <si>
    <t>347805 ,63</t>
  </si>
  <si>
    <t>2926 ,3</t>
  </si>
  <si>
    <t>369156 ,00</t>
  </si>
  <si>
    <t>8651 ,6</t>
  </si>
  <si>
    <t>718886 ,06</t>
  </si>
  <si>
    <t>22457 ,5</t>
  </si>
  <si>
    <t>736914 ,63</t>
  </si>
  <si>
    <t>6752 ,9</t>
  </si>
  <si>
    <t>800745 ,38</t>
  </si>
  <si>
    <t>23295 ,6</t>
  </si>
  <si>
    <t>782857 ,94</t>
  </si>
  <si>
    <t>21504 ,0</t>
  </si>
  <si>
    <t>786169 ,81</t>
  </si>
  <si>
    <t>19787 ,8</t>
  </si>
  <si>
    <t>1175438 ,88</t>
  </si>
  <si>
    <t>20439 ,7</t>
  </si>
  <si>
    <t>790581 ,19</t>
  </si>
  <si>
    <t>13703 ,9</t>
  </si>
  <si>
    <t>764359 ,63</t>
  </si>
  <si>
    <t>20440 ,8</t>
  </si>
  <si>
    <t>812670 ,31</t>
  </si>
  <si>
    <t>23092 ,8</t>
  </si>
  <si>
    <t>812976 ,81</t>
  </si>
  <si>
    <t>23358 ,4</t>
  </si>
  <si>
    <t>764552 ,31</t>
  </si>
  <si>
    <t>16369 ,7</t>
  </si>
  <si>
    <t>363 ,760</t>
  </si>
  <si>
    <t>1505364 ,88</t>
  </si>
  <si>
    <t>9763 ,6</t>
  </si>
  <si>
    <t>1375942 ,13</t>
  </si>
  <si>
    <t>53626 ,4</t>
  </si>
  <si>
    <t>819437 ,31</t>
  </si>
  <si>
    <t>30129 ,2</t>
  </si>
  <si>
    <t>790241 ,44</t>
  </si>
  <si>
    <t>36160 ,0</t>
  </si>
  <si>
    <t>772066 ,94</t>
  </si>
  <si>
    <t>34068 ,7</t>
  </si>
  <si>
    <t>1104209 ,88</t>
  </si>
  <si>
    <t>67436 ,2</t>
  </si>
  <si>
    <t>785281 ,81</t>
  </si>
  <si>
    <t>17722 ,9</t>
  </si>
  <si>
    <t>846430 ,63</t>
  </si>
  <si>
    <t>20340 ,3</t>
  </si>
  <si>
    <t>781312 ,88</t>
  </si>
  <si>
    <t>9097 ,4</t>
  </si>
  <si>
    <t>36 ,380</t>
  </si>
  <si>
    <t>187041 ,56</t>
  </si>
  <si>
    <t>5415 ,9</t>
  </si>
  <si>
    <t>725487 ,94</t>
  </si>
  <si>
    <t>29247 ,1</t>
  </si>
  <si>
    <t>3637 ,610</t>
  </si>
  <si>
    <t>5707950 ,00</t>
  </si>
  <si>
    <t>22936 ,3</t>
  </si>
  <si>
    <t>5683858 ,00</t>
  </si>
  <si>
    <t>27995 ,5</t>
  </si>
  <si>
    <t>6 ,03</t>
  </si>
  <si>
    <t>3711609 ,25</t>
  </si>
  <si>
    <t>29828 ,6</t>
  </si>
  <si>
    <t>4129420 ,75</t>
  </si>
  <si>
    <t>68768 ,0</t>
  </si>
  <si>
    <t>7275 ,220</t>
  </si>
  <si>
    <t>11099310 ,00</t>
  </si>
  <si>
    <t>32048 ,4</t>
  </si>
  <si>
    <t>5120316 ,00</t>
  </si>
  <si>
    <t>44997 ,7</t>
  </si>
  <si>
    <t>5585521 ,50</t>
  </si>
  <si>
    <t>39486 ,4</t>
  </si>
  <si>
    <t>5413806 ,00</t>
  </si>
  <si>
    <t>43865 ,8</t>
  </si>
  <si>
    <t>6096221 ,50</t>
  </si>
  <si>
    <t>50324 ,6</t>
  </si>
  <si>
    <t>6259622 ,50</t>
  </si>
  <si>
    <t>58380 ,6</t>
  </si>
  <si>
    <t>5264061 ,50</t>
  </si>
  <si>
    <t>24934 ,5</t>
  </si>
  <si>
    <t>11047863 ,00</t>
  </si>
  <si>
    <t>69659 ,5</t>
  </si>
  <si>
    <t>5957879 ,00</t>
  </si>
  <si>
    <t>173166 ,7</t>
  </si>
  <si>
    <t>5518932 ,50</t>
  </si>
  <si>
    <t>14726 ,3</t>
  </si>
  <si>
    <t>5069938 ,00</t>
  </si>
  <si>
    <t>26326 ,7</t>
  </si>
  <si>
    <t>5457426 ,50</t>
  </si>
  <si>
    <t>30033 ,8</t>
  </si>
  <si>
    <t>5845189 ,00</t>
  </si>
  <si>
    <t>65992 ,9</t>
  </si>
  <si>
    <t>5708823 ,50</t>
  </si>
  <si>
    <t>33630 ,5</t>
  </si>
  <si>
    <t>6293967 ,00</t>
  </si>
  <si>
    <t>27187 ,3</t>
  </si>
  <si>
    <t>4076793 ,25</t>
  </si>
  <si>
    <t>49279 ,2</t>
  </si>
  <si>
    <t>676 ,58</t>
  </si>
  <si>
    <t>14 ,3</t>
  </si>
  <si>
    <t>Données</t>
  </si>
  <si>
    <t>Valeur</t>
  </si>
  <si>
    <t>extraction 1</t>
  </si>
  <si>
    <t>V acn ajouté ml</t>
  </si>
  <si>
    <t>V acn récupéré ml</t>
  </si>
  <si>
    <t>% récupéré</t>
  </si>
  <si>
    <t>extraction 2</t>
  </si>
  <si>
    <t>V acn restant de 1</t>
  </si>
  <si>
    <t>V acn récupéré</t>
  </si>
  <si>
    <t xml:space="preserve">% récupéré </t>
  </si>
  <si>
    <t>V extrait (1+2) ml</t>
  </si>
  <si>
    <t>% récupéré e1 + e2</t>
  </si>
  <si>
    <t>facteur de correction pour 100 %</t>
  </si>
  <si>
    <t>dilution</t>
  </si>
  <si>
    <t>pe en g</t>
  </si>
  <si>
    <t>quantité ng</t>
  </si>
  <si>
    <t>ng/g de vdt</t>
  </si>
  <si>
    <t>cc µl/l SI-std</t>
  </si>
  <si>
    <t>cc théorique</t>
  </si>
  <si>
    <t>rdt %</t>
  </si>
  <si>
    <t>ng/g de vers de terre frais</t>
  </si>
  <si>
    <t>Epoxiconazole</t>
  </si>
  <si>
    <t>Imidaclopride</t>
  </si>
  <si>
    <t xml:space="preserve"> vdt_N01_lot_D</t>
  </si>
  <si>
    <t xml:space="preserve"> vdt_N03_lot_E</t>
  </si>
  <si>
    <t xml:space="preserve"> vdt_I2_3_2 </t>
  </si>
  <si>
    <t xml:space="preserve"> vdt_I2_3_1 </t>
  </si>
  <si>
    <t xml:space="preserve"> vdt_I2_1_2 </t>
  </si>
  <si>
    <t xml:space="preserve"> vdt_I2_1_1 </t>
  </si>
  <si>
    <t xml:space="preserve"> vdt_H2_3_2 </t>
  </si>
  <si>
    <t xml:space="preserve"> vdt_H2_3_1 </t>
  </si>
  <si>
    <t xml:space="preserve"> vdt_H2_1_2 </t>
  </si>
  <si>
    <t xml:space="preserve"> vdt_H2_1_1 </t>
  </si>
  <si>
    <t xml:space="preserve"> vdt_G2_3_2 </t>
  </si>
  <si>
    <t xml:space="preserve"> vdt_G2_3_1 </t>
  </si>
  <si>
    <t xml:space="preserve"> vdt_G2_1_2 </t>
  </si>
  <si>
    <t xml:space="preserve"> vdt_G2_1_1 </t>
  </si>
  <si>
    <t xml:space="preserve"> vdt_F2_3_2 </t>
  </si>
  <si>
    <t xml:space="preserve"> vdt_F2_3_1 </t>
  </si>
  <si>
    <t xml:space="preserve"> vdt_F2_1_2 </t>
  </si>
  <si>
    <t xml:space="preserve"> vdt_F2_1_1 </t>
  </si>
  <si>
    <t xml:space="preserve"> vdt_E2_3_2 </t>
  </si>
  <si>
    <t xml:space="preserve"> vdt_E2_3_1 </t>
  </si>
  <si>
    <t xml:space="preserve"> vdt_E2_1_2 </t>
  </si>
  <si>
    <t xml:space="preserve"> vdt_E2_1_1 </t>
  </si>
  <si>
    <t xml:space="preserve"> vdt_E5_3_2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</si>
</sst>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"/>
    <numFmt numFmtId="166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164" fontId="0" fillId="0" borderId="0" xfId="0" applyNumberFormat="1"/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0" fillId="33" borderId="0" xfId="0" applyNumberFormat="1" applyFill="1" applyAlignment="1">
      <alignment horizontal="center"/>
    </xf>
    <xf numFmtId="164" fontId="0" fillId="33" borderId="0" xfId="0" applyNumberFormat="1" applyFill="1" applyAlignment="1">
      <alignment horizontal="center"/>
    </xf>
    <xf numFmtId="165" fontId="0" fillId="33" borderId="0" xfId="0" applyNumberFormat="1" applyFill="1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B30" sqref="B30"/>
    </sheetView>
  </sheetViews>
  <sheetFormatPr baseColWidth="10" defaultRowHeight="15" x14ac:dyDescent="0.2"/>
  <cols>
    <col min="1" max="1" width="28.5" bestFit="1" customWidth="1"/>
  </cols>
  <sheetData>
    <row r="1" spans="1:2" x14ac:dyDescent="0.2">
      <c r="A1" t="s">
        <v>781</v>
      </c>
      <c r="B1" s="1" t="s">
        <v>782</v>
      </c>
    </row>
    <row r="2" spans="1:2" x14ac:dyDescent="0.2">
      <c r="A2" t="s">
        <v>783</v>
      </c>
      <c r="B2" s="1"/>
    </row>
    <row r="3" spans="1:2" x14ac:dyDescent="0.2">
      <c r="A3" t="s">
        <v>784</v>
      </c>
      <c r="B3" s="1">
        <v>5</v>
      </c>
    </row>
    <row r="4" spans="1:2" x14ac:dyDescent="0.2">
      <c r="A4" t="s">
        <v>785</v>
      </c>
      <c r="B4" s="1">
        <v>3</v>
      </c>
    </row>
    <row r="5" spans="1:2" x14ac:dyDescent="0.2">
      <c r="A5" t="s">
        <v>786</v>
      </c>
      <c r="B5" s="7">
        <f>B4*100/B3</f>
        <v>60</v>
      </c>
    </row>
    <row r="6" spans="1:2" x14ac:dyDescent="0.2">
      <c r="A6" t="s">
        <v>787</v>
      </c>
      <c r="B6" s="1"/>
    </row>
    <row r="7" spans="1:2" x14ac:dyDescent="0.2">
      <c r="A7" t="s">
        <v>788</v>
      </c>
      <c r="B7" s="1">
        <f>B3-B4</f>
        <v>2</v>
      </c>
    </row>
    <row r="8" spans="1:2" x14ac:dyDescent="0.2">
      <c r="A8" t="s">
        <v>784</v>
      </c>
      <c r="B8" s="1">
        <v>5</v>
      </c>
    </row>
    <row r="9" spans="1:2" x14ac:dyDescent="0.2">
      <c r="A9" t="s">
        <v>789</v>
      </c>
      <c r="B9" s="1">
        <v>3</v>
      </c>
    </row>
    <row r="10" spans="1:2" x14ac:dyDescent="0.2">
      <c r="A10" t="s">
        <v>790</v>
      </c>
      <c r="B10" s="8">
        <f>((B3-B4)/B3)*B9*100/(B8+B7)</f>
        <v>17.142857142857146</v>
      </c>
    </row>
    <row r="11" spans="1:2" x14ac:dyDescent="0.2">
      <c r="A11" t="s">
        <v>791</v>
      </c>
      <c r="B11" s="1">
        <f>B9+B4</f>
        <v>6</v>
      </c>
    </row>
    <row r="12" spans="1:2" x14ac:dyDescent="0.2">
      <c r="A12" t="s">
        <v>792</v>
      </c>
      <c r="B12" s="8">
        <f>B5+B10</f>
        <v>77.142857142857139</v>
      </c>
    </row>
    <row r="13" spans="1:2" x14ac:dyDescent="0.2">
      <c r="A13" t="s">
        <v>793</v>
      </c>
      <c r="B13" s="9">
        <f>100/B12</f>
        <v>1.2962962962962963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19"/>
  <sheetViews>
    <sheetView topLeftCell="A9" zoomScale="90" zoomScaleNormal="90" workbookViewId="0">
      <selection activeCell="U36" sqref="U36"/>
    </sheetView>
  </sheetViews>
  <sheetFormatPr baseColWidth="10" defaultRowHeight="15" x14ac:dyDescent="0.2"/>
  <cols>
    <col min="1" max="1" width="4.33203125" customWidth="1"/>
    <col min="2" max="2" width="29" customWidth="1"/>
    <col min="4" max="4" width="8" customWidth="1"/>
    <col min="7" max="7" width="6.83203125" style="1" customWidth="1"/>
    <col min="8" max="8" width="5.5" customWidth="1"/>
    <col min="9" max="9" width="10.83203125" style="2"/>
    <col min="10" max="10" width="13.1640625" style="4" bestFit="1" customWidth="1"/>
    <col min="11" max="11" width="12.1640625" style="4" bestFit="1" customWidth="1"/>
    <col min="12" max="12" width="13.33203125" style="5" customWidth="1"/>
    <col min="13" max="13" width="12.1640625" style="4" bestFit="1" customWidth="1"/>
    <col min="14" max="14" width="13.33203125" style="6" customWidth="1"/>
    <col min="15" max="15" width="10.83203125" style="1"/>
    <col min="16" max="16" width="2.5" customWidth="1"/>
    <col min="19" max="19" width="13" style="3" customWidth="1"/>
    <col min="20" max="20" width="12.33203125" style="3" customWidth="1"/>
  </cols>
  <sheetData>
    <row r="1" spans="1:15" x14ac:dyDescent="0.2">
      <c r="A1" t="s">
        <v>0</v>
      </c>
    </row>
    <row r="3" spans="1:15" x14ac:dyDescent="0.2">
      <c r="A3" t="s">
        <v>1</v>
      </c>
    </row>
    <row r="5" spans="1:15" x14ac:dyDescent="0.2">
      <c r="A5" t="s">
        <v>2</v>
      </c>
    </row>
    <row r="7" spans="1:15" x14ac:dyDescent="0.2">
      <c r="B7" t="s">
        <v>3</v>
      </c>
      <c r="C7" t="s">
        <v>4</v>
      </c>
      <c r="D7" t="s">
        <v>5</v>
      </c>
      <c r="E7" t="s">
        <v>6</v>
      </c>
      <c r="F7" t="s">
        <v>122</v>
      </c>
      <c r="G7" s="1" t="s">
        <v>7</v>
      </c>
      <c r="H7" t="s">
        <v>8</v>
      </c>
      <c r="I7" s="2" t="s">
        <v>9</v>
      </c>
      <c r="J7" s="4" t="s">
        <v>10</v>
      </c>
      <c r="K7" s="4" t="s">
        <v>11</v>
      </c>
      <c r="L7" s="5" t="s">
        <v>12</v>
      </c>
      <c r="M7" s="4" t="s">
        <v>13</v>
      </c>
      <c r="N7" s="6" t="s">
        <v>14</v>
      </c>
      <c r="O7" s="1" t="s">
        <v>15</v>
      </c>
    </row>
    <row r="8" spans="1:15" x14ac:dyDescent="0.2">
      <c r="A8">
        <v>1</v>
      </c>
      <c r="B8" t="s">
        <v>16</v>
      </c>
      <c r="D8" t="s">
        <v>123</v>
      </c>
      <c r="E8" t="s">
        <v>17</v>
      </c>
      <c r="F8" t="s">
        <v>124</v>
      </c>
      <c r="H8" t="s">
        <v>18</v>
      </c>
      <c r="J8" s="4">
        <v>10428</v>
      </c>
      <c r="K8" s="4">
        <v>3962877</v>
      </c>
      <c r="L8" s="5" t="s">
        <v>125</v>
      </c>
      <c r="M8" s="4">
        <v>6402</v>
      </c>
      <c r="N8" s="6" t="s">
        <v>126</v>
      </c>
      <c r="O8" s="1" t="s">
        <v>127</v>
      </c>
    </row>
    <row r="9" spans="1:15" x14ac:dyDescent="0.2">
      <c r="A9">
        <v>2</v>
      </c>
      <c r="B9" t="s">
        <v>19</v>
      </c>
      <c r="D9" t="s">
        <v>123</v>
      </c>
      <c r="E9" t="s">
        <v>17</v>
      </c>
      <c r="F9" t="s">
        <v>128</v>
      </c>
      <c r="G9" s="1">
        <v>-15.1</v>
      </c>
      <c r="H9" t="s">
        <v>20</v>
      </c>
      <c r="I9" s="2">
        <v>3.44</v>
      </c>
      <c r="J9" s="4">
        <v>122804</v>
      </c>
      <c r="K9" s="4">
        <v>3964507</v>
      </c>
      <c r="L9" s="5" t="s">
        <v>129</v>
      </c>
      <c r="M9" s="4">
        <v>29250</v>
      </c>
      <c r="N9" s="6" t="s">
        <v>130</v>
      </c>
      <c r="O9" s="1" t="s">
        <v>131</v>
      </c>
    </row>
    <row r="10" spans="1:15" x14ac:dyDescent="0.2">
      <c r="A10">
        <v>3</v>
      </c>
      <c r="B10" t="s">
        <v>21</v>
      </c>
      <c r="D10" t="s">
        <v>132</v>
      </c>
      <c r="E10" t="s">
        <v>17</v>
      </c>
      <c r="F10" t="s">
        <v>128</v>
      </c>
      <c r="G10" s="1">
        <v>-13.1</v>
      </c>
      <c r="H10" t="s">
        <v>20</v>
      </c>
      <c r="I10" s="2">
        <v>3.5190000000000001</v>
      </c>
      <c r="J10" s="4">
        <v>119693</v>
      </c>
      <c r="K10" s="4">
        <v>3793412</v>
      </c>
      <c r="L10" s="5" t="s">
        <v>133</v>
      </c>
      <c r="M10" s="4">
        <v>28296</v>
      </c>
      <c r="N10" s="6" t="s">
        <v>134</v>
      </c>
      <c r="O10" s="1" t="s">
        <v>135</v>
      </c>
    </row>
    <row r="11" spans="1:15" x14ac:dyDescent="0.2">
      <c r="A11">
        <v>4</v>
      </c>
      <c r="B11" t="s">
        <v>22</v>
      </c>
      <c r="D11" t="s">
        <v>123</v>
      </c>
      <c r="E11" t="s">
        <v>17</v>
      </c>
      <c r="F11" t="s">
        <v>136</v>
      </c>
      <c r="G11" s="1">
        <v>-1.9</v>
      </c>
      <c r="H11" t="s">
        <v>20</v>
      </c>
      <c r="I11" s="2">
        <v>13.894</v>
      </c>
      <c r="J11" s="4">
        <v>403030</v>
      </c>
      <c r="K11" s="4">
        <v>3747721</v>
      </c>
      <c r="L11" s="5" t="s">
        <v>137</v>
      </c>
      <c r="M11" s="4">
        <v>84280</v>
      </c>
      <c r="N11" s="6" t="s">
        <v>138</v>
      </c>
      <c r="O11" s="1" t="s">
        <v>139</v>
      </c>
    </row>
    <row r="12" spans="1:15" x14ac:dyDescent="0.2">
      <c r="A12">
        <v>5</v>
      </c>
      <c r="B12" t="s">
        <v>23</v>
      </c>
      <c r="D12" t="s">
        <v>123</v>
      </c>
      <c r="E12" t="s">
        <v>17</v>
      </c>
      <c r="F12" t="s">
        <v>136</v>
      </c>
      <c r="G12" s="1">
        <v>0</v>
      </c>
      <c r="H12" t="s">
        <v>20</v>
      </c>
      <c r="I12" s="2">
        <v>14.164999999999999</v>
      </c>
      <c r="J12" s="4">
        <v>405450</v>
      </c>
      <c r="K12" s="4">
        <v>3702092</v>
      </c>
      <c r="L12" s="5" t="s">
        <v>140</v>
      </c>
      <c r="M12" s="4">
        <v>84368</v>
      </c>
      <c r="N12" s="6" t="s">
        <v>141</v>
      </c>
      <c r="O12" s="1" t="s">
        <v>142</v>
      </c>
    </row>
    <row r="13" spans="1:15" x14ac:dyDescent="0.2">
      <c r="A13">
        <v>6</v>
      </c>
      <c r="B13" t="s">
        <v>24</v>
      </c>
      <c r="D13" t="s">
        <v>123</v>
      </c>
      <c r="E13" t="s">
        <v>17</v>
      </c>
      <c r="F13" t="s">
        <v>143</v>
      </c>
      <c r="G13" s="1">
        <v>7.6</v>
      </c>
      <c r="H13" t="s">
        <v>20</v>
      </c>
      <c r="I13" s="2">
        <v>87.108999999999995</v>
      </c>
      <c r="J13" s="4">
        <v>2366355</v>
      </c>
      <c r="K13" s="4">
        <v>3690652</v>
      </c>
      <c r="L13" s="5" t="s">
        <v>144</v>
      </c>
      <c r="M13" s="4">
        <v>463431</v>
      </c>
      <c r="N13" s="6" t="s">
        <v>145</v>
      </c>
      <c r="O13" s="1" t="s">
        <v>146</v>
      </c>
    </row>
    <row r="14" spans="1:15" x14ac:dyDescent="0.2">
      <c r="A14">
        <v>7</v>
      </c>
      <c r="B14" t="s">
        <v>25</v>
      </c>
      <c r="D14" t="s">
        <v>123</v>
      </c>
      <c r="E14" t="s">
        <v>17</v>
      </c>
      <c r="F14" t="s">
        <v>147</v>
      </c>
      <c r="G14" s="1">
        <v>4.2</v>
      </c>
      <c r="H14" t="s">
        <v>20</v>
      </c>
      <c r="I14" s="2">
        <v>168.64599999999999</v>
      </c>
      <c r="J14" s="4">
        <v>4639020</v>
      </c>
      <c r="K14" s="4">
        <v>3770916</v>
      </c>
      <c r="L14" s="5" t="s">
        <v>148</v>
      </c>
      <c r="M14" s="4">
        <v>917882</v>
      </c>
      <c r="N14" s="6" t="s">
        <v>149</v>
      </c>
      <c r="O14" s="1" t="s">
        <v>150</v>
      </c>
    </row>
    <row r="15" spans="1:15" x14ac:dyDescent="0.2">
      <c r="A15">
        <v>8</v>
      </c>
      <c r="B15" t="s">
        <v>26</v>
      </c>
      <c r="D15" t="s">
        <v>123</v>
      </c>
      <c r="E15" t="s">
        <v>17</v>
      </c>
      <c r="F15" t="s">
        <v>151</v>
      </c>
      <c r="G15" s="1">
        <v>3.1</v>
      </c>
      <c r="H15" t="s">
        <v>20</v>
      </c>
      <c r="I15" s="2">
        <v>417.20600000000002</v>
      </c>
      <c r="J15" s="4">
        <v>11333257</v>
      </c>
      <c r="K15" s="4">
        <v>3788245</v>
      </c>
      <c r="L15" s="5" t="s">
        <v>152</v>
      </c>
      <c r="M15" s="4">
        <v>2235375</v>
      </c>
      <c r="N15" s="6" t="s">
        <v>153</v>
      </c>
      <c r="O15" s="1" t="s">
        <v>154</v>
      </c>
    </row>
    <row r="16" spans="1:15" x14ac:dyDescent="0.2">
      <c r="A16">
        <v>9</v>
      </c>
      <c r="B16" t="s">
        <v>27</v>
      </c>
      <c r="D16" t="s">
        <v>123</v>
      </c>
      <c r="E16" t="s">
        <v>17</v>
      </c>
      <c r="F16" t="s">
        <v>155</v>
      </c>
      <c r="G16" s="1">
        <v>-1</v>
      </c>
      <c r="H16" t="s">
        <v>20</v>
      </c>
      <c r="I16" s="2">
        <v>1001.7089999999999</v>
      </c>
      <c r="J16" s="4">
        <v>25536964</v>
      </c>
      <c r="K16" s="4">
        <v>3684350</v>
      </c>
      <c r="L16" s="5" t="s">
        <v>156</v>
      </c>
      <c r="M16" s="4">
        <v>5249654</v>
      </c>
      <c r="N16" s="6" t="s">
        <v>157</v>
      </c>
      <c r="O16" s="1" t="s">
        <v>158</v>
      </c>
    </row>
    <row r="17" spans="1:20" x14ac:dyDescent="0.2">
      <c r="A17">
        <v>10</v>
      </c>
      <c r="B17" t="s">
        <v>28</v>
      </c>
      <c r="D17" t="s">
        <v>123</v>
      </c>
      <c r="E17" t="s">
        <v>17</v>
      </c>
      <c r="F17" t="s">
        <v>159</v>
      </c>
      <c r="G17" s="1">
        <v>-3.4</v>
      </c>
      <c r="H17" t="s">
        <v>20</v>
      </c>
      <c r="I17" s="2">
        <v>2932.8690000000001</v>
      </c>
      <c r="J17" s="4">
        <v>60506916</v>
      </c>
      <c r="K17" s="4">
        <v>3375659</v>
      </c>
      <c r="L17" s="5" t="s">
        <v>160</v>
      </c>
      <c r="M17" s="4">
        <v>12992424</v>
      </c>
      <c r="N17" s="6" t="s">
        <v>161</v>
      </c>
      <c r="O17" s="1" t="s">
        <v>162</v>
      </c>
    </row>
    <row r="18" spans="1:20" x14ac:dyDescent="0.2">
      <c r="A18">
        <v>11</v>
      </c>
      <c r="B18" t="s">
        <v>29</v>
      </c>
      <c r="D18" t="s">
        <v>123</v>
      </c>
      <c r="E18" t="s">
        <v>17</v>
      </c>
      <c r="F18" t="s">
        <v>163</v>
      </c>
      <c r="G18" s="1">
        <v>-0.3</v>
      </c>
      <c r="H18" t="s">
        <v>20</v>
      </c>
      <c r="I18" s="2">
        <v>5047.1459999999997</v>
      </c>
      <c r="J18" s="4">
        <v>84528480</v>
      </c>
      <c r="K18" s="4">
        <v>3201933</v>
      </c>
      <c r="L18" s="5" t="s">
        <v>164</v>
      </c>
      <c r="M18" s="4">
        <v>18900666</v>
      </c>
      <c r="N18" s="6" t="s">
        <v>165</v>
      </c>
      <c r="O18" s="1" t="s">
        <v>166</v>
      </c>
    </row>
    <row r="19" spans="1:20" x14ac:dyDescent="0.2">
      <c r="A19">
        <v>67</v>
      </c>
      <c r="B19" t="s">
        <v>30</v>
      </c>
      <c r="D19" t="s">
        <v>132</v>
      </c>
      <c r="E19" t="s">
        <v>17</v>
      </c>
      <c r="F19" t="s">
        <v>124</v>
      </c>
      <c r="H19" t="s">
        <v>18</v>
      </c>
      <c r="J19" s="4">
        <v>17114</v>
      </c>
      <c r="K19" s="4">
        <v>3528144</v>
      </c>
      <c r="L19" s="5" t="s">
        <v>167</v>
      </c>
      <c r="M19" s="4">
        <v>6815</v>
      </c>
      <c r="N19" s="6" t="s">
        <v>168</v>
      </c>
      <c r="O19" s="1" t="s">
        <v>169</v>
      </c>
    </row>
    <row r="20" spans="1:20" x14ac:dyDescent="0.2">
      <c r="A20">
        <v>68</v>
      </c>
      <c r="B20" t="s">
        <v>31</v>
      </c>
      <c r="D20" t="s">
        <v>132</v>
      </c>
      <c r="E20" t="s">
        <v>17</v>
      </c>
      <c r="F20" t="s">
        <v>128</v>
      </c>
      <c r="G20" s="1">
        <v>-6.2</v>
      </c>
      <c r="H20" t="s">
        <v>20</v>
      </c>
      <c r="I20" s="2">
        <v>3.8</v>
      </c>
      <c r="J20" s="4">
        <v>127316</v>
      </c>
      <c r="K20" s="4">
        <v>3787349</v>
      </c>
      <c r="L20" s="5" t="s">
        <v>170</v>
      </c>
      <c r="M20" s="4">
        <v>29290</v>
      </c>
      <c r="N20" s="6" t="s">
        <v>171</v>
      </c>
      <c r="O20" s="1" t="s">
        <v>172</v>
      </c>
    </row>
    <row r="21" spans="1:20" x14ac:dyDescent="0.2">
      <c r="A21">
        <v>69</v>
      </c>
      <c r="B21" t="s">
        <v>32</v>
      </c>
      <c r="D21" t="s">
        <v>123</v>
      </c>
      <c r="E21" t="s">
        <v>17</v>
      </c>
      <c r="F21" t="s">
        <v>136</v>
      </c>
      <c r="G21" s="1">
        <v>7</v>
      </c>
      <c r="H21" t="s">
        <v>20</v>
      </c>
      <c r="I21" s="2">
        <v>15.163</v>
      </c>
      <c r="J21" s="4">
        <v>438778</v>
      </c>
      <c r="K21" s="4">
        <v>3755986</v>
      </c>
      <c r="L21" s="5" t="s">
        <v>173</v>
      </c>
      <c r="M21" s="4">
        <v>89621</v>
      </c>
      <c r="N21" s="6" t="s">
        <v>174</v>
      </c>
      <c r="O21" s="1" t="s">
        <v>175</v>
      </c>
    </row>
    <row r="22" spans="1:20" x14ac:dyDescent="0.2">
      <c r="A22">
        <v>70</v>
      </c>
      <c r="B22" t="s">
        <v>33</v>
      </c>
      <c r="D22" t="s">
        <v>123</v>
      </c>
      <c r="E22" t="s">
        <v>17</v>
      </c>
      <c r="F22" t="s">
        <v>143</v>
      </c>
      <c r="G22" s="1">
        <v>7.8</v>
      </c>
      <c r="H22" t="s">
        <v>20</v>
      </c>
      <c r="I22" s="2">
        <v>87.289000000000001</v>
      </c>
      <c r="J22" s="4">
        <v>2502618</v>
      </c>
      <c r="K22" s="4">
        <v>3895255</v>
      </c>
      <c r="L22" s="5" t="s">
        <v>176</v>
      </c>
      <c r="M22" s="4">
        <v>489710</v>
      </c>
      <c r="N22" s="6" t="s">
        <v>177</v>
      </c>
      <c r="O22" s="1" t="s">
        <v>146</v>
      </c>
    </row>
    <row r="23" spans="1:20" x14ac:dyDescent="0.2">
      <c r="A23">
        <v>71</v>
      </c>
      <c r="B23" t="s">
        <v>34</v>
      </c>
      <c r="D23" t="s">
        <v>132</v>
      </c>
      <c r="E23" t="s">
        <v>17</v>
      </c>
      <c r="F23" t="s">
        <v>147</v>
      </c>
      <c r="G23" s="1">
        <v>5.7</v>
      </c>
      <c r="H23" t="s">
        <v>20</v>
      </c>
      <c r="I23" s="2">
        <v>171.136</v>
      </c>
      <c r="J23" s="4">
        <v>4856061</v>
      </c>
      <c r="K23" s="4">
        <v>3890723</v>
      </c>
      <c r="L23" s="5" t="s">
        <v>178</v>
      </c>
      <c r="M23" s="4">
        <v>950011</v>
      </c>
      <c r="N23" s="6" t="s">
        <v>179</v>
      </c>
      <c r="O23" s="1" t="s">
        <v>146</v>
      </c>
    </row>
    <row r="24" spans="1:20" x14ac:dyDescent="0.2">
      <c r="A24">
        <v>72</v>
      </c>
      <c r="B24" t="s">
        <v>35</v>
      </c>
      <c r="D24" t="s">
        <v>123</v>
      </c>
      <c r="E24" t="s">
        <v>17</v>
      </c>
      <c r="F24" t="s">
        <v>151</v>
      </c>
      <c r="G24" s="1">
        <v>5.4</v>
      </c>
      <c r="H24" t="s">
        <v>20</v>
      </c>
      <c r="I24" s="2">
        <v>426.50700000000001</v>
      </c>
      <c r="J24" s="4">
        <v>11849335</v>
      </c>
      <c r="K24" s="4">
        <v>3876625</v>
      </c>
      <c r="L24" s="5" t="s">
        <v>180</v>
      </c>
      <c r="M24" s="4">
        <v>2345549</v>
      </c>
      <c r="N24" s="6" t="s">
        <v>181</v>
      </c>
      <c r="O24" s="1" t="s">
        <v>150</v>
      </c>
    </row>
    <row r="25" spans="1:20" x14ac:dyDescent="0.2">
      <c r="A25">
        <v>73</v>
      </c>
      <c r="B25" t="s">
        <v>36</v>
      </c>
      <c r="D25" t="s">
        <v>123</v>
      </c>
      <c r="E25" t="s">
        <v>17</v>
      </c>
      <c r="F25" t="s">
        <v>155</v>
      </c>
      <c r="G25" s="1">
        <v>-0.2</v>
      </c>
      <c r="H25" t="s">
        <v>20</v>
      </c>
      <c r="I25" s="2">
        <v>1009.8630000000001</v>
      </c>
      <c r="J25" s="4">
        <v>26263158</v>
      </c>
      <c r="K25" s="4">
        <v>3760399</v>
      </c>
      <c r="L25" s="5" t="s">
        <v>182</v>
      </c>
      <c r="M25" s="4">
        <v>5385184</v>
      </c>
      <c r="N25" s="6" t="s">
        <v>183</v>
      </c>
      <c r="O25" s="1" t="s">
        <v>184</v>
      </c>
    </row>
    <row r="26" spans="1:20" x14ac:dyDescent="0.2">
      <c r="A26">
        <v>74</v>
      </c>
      <c r="B26" t="s">
        <v>37</v>
      </c>
      <c r="D26" t="s">
        <v>123</v>
      </c>
      <c r="E26" t="s">
        <v>17</v>
      </c>
      <c r="F26" t="s">
        <v>159</v>
      </c>
      <c r="G26" s="1">
        <v>-2.6</v>
      </c>
      <c r="H26" t="s">
        <v>20</v>
      </c>
      <c r="I26" s="2">
        <v>2958.462</v>
      </c>
      <c r="J26" s="4">
        <v>60637492</v>
      </c>
      <c r="K26" s="4">
        <v>3359546</v>
      </c>
      <c r="L26" s="5" t="s">
        <v>185</v>
      </c>
      <c r="M26" s="4">
        <v>12987904</v>
      </c>
      <c r="N26" s="6" t="s">
        <v>186</v>
      </c>
      <c r="O26" s="1" t="s">
        <v>187</v>
      </c>
    </row>
    <row r="27" spans="1:20" x14ac:dyDescent="0.2">
      <c r="A27">
        <v>75</v>
      </c>
      <c r="B27" t="s">
        <v>38</v>
      </c>
      <c r="D27" t="s">
        <v>123</v>
      </c>
      <c r="E27" t="s">
        <v>17</v>
      </c>
      <c r="F27" t="s">
        <v>163</v>
      </c>
      <c r="G27" s="1">
        <v>3.6</v>
      </c>
      <c r="H27" t="s">
        <v>20</v>
      </c>
      <c r="I27" s="2">
        <v>5243.1090000000004</v>
      </c>
      <c r="J27" s="4">
        <v>82634952</v>
      </c>
      <c r="K27" s="4">
        <v>3060984</v>
      </c>
      <c r="L27" s="5" t="s">
        <v>188</v>
      </c>
      <c r="M27" s="4">
        <v>18177202</v>
      </c>
      <c r="N27" s="6" t="s">
        <v>189</v>
      </c>
      <c r="O27" s="1" t="s">
        <v>190</v>
      </c>
    </row>
    <row r="28" spans="1:20" x14ac:dyDescent="0.2">
      <c r="A28">
        <v>12</v>
      </c>
      <c r="B28" t="s">
        <v>39</v>
      </c>
      <c r="D28" t="s">
        <v>123</v>
      </c>
      <c r="H28" t="s">
        <v>20</v>
      </c>
      <c r="J28" s="4">
        <v>42408</v>
      </c>
      <c r="K28" s="4">
        <v>1766</v>
      </c>
      <c r="M28" s="4">
        <v>9103</v>
      </c>
      <c r="N28" s="6" t="s">
        <v>191</v>
      </c>
      <c r="O28" s="1" t="s">
        <v>162</v>
      </c>
    </row>
    <row r="29" spans="1:20" x14ac:dyDescent="0.2">
      <c r="A29">
        <v>13</v>
      </c>
      <c r="B29" t="s">
        <v>40</v>
      </c>
      <c r="D29" t="s">
        <v>123</v>
      </c>
      <c r="H29" t="s">
        <v>20</v>
      </c>
      <c r="J29" s="4">
        <v>11709</v>
      </c>
      <c r="K29" s="4">
        <v>601</v>
      </c>
      <c r="M29" s="4">
        <v>2603</v>
      </c>
      <c r="N29" s="6" t="s">
        <v>192</v>
      </c>
      <c r="O29" s="1" t="s">
        <v>193</v>
      </c>
    </row>
    <row r="30" spans="1:20" x14ac:dyDescent="0.2">
      <c r="A30">
        <v>14</v>
      </c>
      <c r="B30" t="s">
        <v>41</v>
      </c>
      <c r="D30" t="s">
        <v>123</v>
      </c>
      <c r="H30" t="s">
        <v>20</v>
      </c>
      <c r="J30" s="4">
        <v>9524</v>
      </c>
      <c r="K30" s="4">
        <v>543</v>
      </c>
      <c r="M30" s="4">
        <v>2126</v>
      </c>
      <c r="N30" s="6" t="s">
        <v>194</v>
      </c>
      <c r="O30" s="1" t="s">
        <v>195</v>
      </c>
    </row>
    <row r="31" spans="1:20" x14ac:dyDescent="0.2">
      <c r="A31">
        <v>15</v>
      </c>
      <c r="B31" t="s">
        <v>42</v>
      </c>
      <c r="D31" t="s">
        <v>132</v>
      </c>
      <c r="H31" t="s">
        <v>20</v>
      </c>
      <c r="J31" s="4">
        <v>6335</v>
      </c>
      <c r="K31" s="4">
        <v>387</v>
      </c>
      <c r="M31" s="4">
        <v>1475</v>
      </c>
      <c r="N31" s="6" t="s">
        <v>196</v>
      </c>
      <c r="O31" s="1" t="s">
        <v>197</v>
      </c>
      <c r="Q31" s="1" t="s">
        <v>794</v>
      </c>
      <c r="R31" s="1" t="s">
        <v>795</v>
      </c>
      <c r="S31" s="10" t="s">
        <v>796</v>
      </c>
      <c r="T31" s="10" t="s">
        <v>797</v>
      </c>
    </row>
    <row r="32" spans="1:20" x14ac:dyDescent="0.2">
      <c r="A32">
        <v>16</v>
      </c>
      <c r="B32" t="s">
        <v>43</v>
      </c>
      <c r="D32" t="s">
        <v>132</v>
      </c>
      <c r="H32" t="s">
        <v>20</v>
      </c>
      <c r="J32" s="4">
        <v>6382</v>
      </c>
      <c r="K32" s="4">
        <v>5117799</v>
      </c>
      <c r="M32" s="4">
        <v>9052</v>
      </c>
      <c r="N32" s="6" t="s">
        <v>198</v>
      </c>
      <c r="O32" s="1" t="s">
        <v>199</v>
      </c>
      <c r="Q32" s="1">
        <v>60000</v>
      </c>
      <c r="R32" s="1"/>
      <c r="S32" s="10"/>
      <c r="T32" s="10"/>
    </row>
    <row r="33" spans="1:20" x14ac:dyDescent="0.2">
      <c r="A33">
        <v>17</v>
      </c>
      <c r="B33" t="s">
        <v>44</v>
      </c>
      <c r="C33" t="s">
        <v>45</v>
      </c>
      <c r="D33" t="s">
        <v>123</v>
      </c>
      <c r="H33" t="s">
        <v>20</v>
      </c>
      <c r="I33" s="2">
        <v>117.146</v>
      </c>
      <c r="J33" s="4">
        <v>3105247</v>
      </c>
      <c r="K33" s="4">
        <v>3614948</v>
      </c>
      <c r="L33" s="5" t="s">
        <v>200</v>
      </c>
      <c r="M33" s="4">
        <v>605159</v>
      </c>
      <c r="N33" s="6" t="s">
        <v>201</v>
      </c>
      <c r="O33" s="1" t="s">
        <v>202</v>
      </c>
      <c r="Q33" s="1">
        <v>1</v>
      </c>
      <c r="R33" s="1">
        <v>0.29170000000000001</v>
      </c>
      <c r="S33" s="10">
        <f>((I33*Q33*1.5)/1000)*(6/0.1)*1.296</f>
        <v>13.663909439999999</v>
      </c>
      <c r="T33" s="12">
        <f>S33/R33</f>
        <v>46.842336098731572</v>
      </c>
    </row>
    <row r="34" spans="1:20" x14ac:dyDescent="0.2">
      <c r="A34">
        <v>18</v>
      </c>
      <c r="B34" t="s">
        <v>46</v>
      </c>
      <c r="C34" t="s">
        <v>47</v>
      </c>
      <c r="D34" t="s">
        <v>123</v>
      </c>
      <c r="H34" t="s">
        <v>20</v>
      </c>
      <c r="I34" s="2">
        <v>59.16</v>
      </c>
      <c r="J34" s="4">
        <v>1602899</v>
      </c>
      <c r="K34" s="4">
        <v>3658883</v>
      </c>
      <c r="L34" s="5" t="s">
        <v>203</v>
      </c>
      <c r="M34" s="4">
        <v>314355</v>
      </c>
      <c r="N34" s="6" t="s">
        <v>204</v>
      </c>
      <c r="O34" s="1" t="s">
        <v>205</v>
      </c>
      <c r="Q34" s="1">
        <v>1</v>
      </c>
      <c r="R34" s="1">
        <v>0.30769999999999997</v>
      </c>
      <c r="S34" s="10">
        <f t="shared" ref="S34:S55" si="0">((I34*Q34*1.5)/1000)*(6/0.1)*1.296</f>
        <v>6.9004224000000001</v>
      </c>
      <c r="T34" s="12">
        <f t="shared" ref="T34:T55" si="1">S34/R34</f>
        <v>22.425812154696136</v>
      </c>
    </row>
    <row r="35" spans="1:20" x14ac:dyDescent="0.2">
      <c r="A35">
        <v>19</v>
      </c>
      <c r="B35" t="s">
        <v>48</v>
      </c>
      <c r="C35" t="s">
        <v>49</v>
      </c>
      <c r="D35" t="s">
        <v>123</v>
      </c>
      <c r="H35" t="s">
        <v>20</v>
      </c>
      <c r="I35" s="2">
        <v>17.047000000000001</v>
      </c>
      <c r="J35" s="4">
        <v>491431</v>
      </c>
      <c r="K35" s="4">
        <v>3761736</v>
      </c>
      <c r="L35" s="5" t="s">
        <v>206</v>
      </c>
      <c r="M35" s="4">
        <v>99980</v>
      </c>
      <c r="N35" s="6" t="s">
        <v>207</v>
      </c>
      <c r="O35" s="1" t="s">
        <v>208</v>
      </c>
      <c r="Q35" s="1">
        <v>20</v>
      </c>
      <c r="R35" s="1">
        <v>0.2994</v>
      </c>
      <c r="S35" s="10">
        <f t="shared" si="0"/>
        <v>39.767241599999998</v>
      </c>
      <c r="T35" s="12">
        <f t="shared" si="1"/>
        <v>132.82311823647294</v>
      </c>
    </row>
    <row r="36" spans="1:20" x14ac:dyDescent="0.2">
      <c r="A36">
        <v>20</v>
      </c>
      <c r="B36" t="s">
        <v>50</v>
      </c>
      <c r="C36" t="s">
        <v>51</v>
      </c>
      <c r="D36" t="s">
        <v>123</v>
      </c>
      <c r="H36" t="s">
        <v>20</v>
      </c>
      <c r="I36" s="2">
        <v>15.143000000000001</v>
      </c>
      <c r="J36" s="4">
        <v>447381</v>
      </c>
      <c r="K36" s="4">
        <v>3833422</v>
      </c>
      <c r="L36" s="5" t="s">
        <v>209</v>
      </c>
      <c r="M36" s="4">
        <v>92445</v>
      </c>
      <c r="N36" s="6" t="s">
        <v>210</v>
      </c>
      <c r="O36" s="1" t="s">
        <v>211</v>
      </c>
      <c r="Q36" s="1">
        <v>20</v>
      </c>
      <c r="R36" s="1">
        <v>0.29409999999999997</v>
      </c>
      <c r="S36" s="10">
        <f t="shared" si="0"/>
        <v>35.325590400000003</v>
      </c>
      <c r="T36" s="12">
        <f t="shared" si="1"/>
        <v>120.11421421285279</v>
      </c>
    </row>
    <row r="37" spans="1:20" x14ac:dyDescent="0.2">
      <c r="A37">
        <v>21</v>
      </c>
      <c r="B37" t="s">
        <v>52</v>
      </c>
      <c r="C37" t="s">
        <v>53</v>
      </c>
      <c r="D37" t="s">
        <v>123</v>
      </c>
      <c r="H37" t="s">
        <v>20</v>
      </c>
      <c r="I37" s="2">
        <v>34.975000000000001</v>
      </c>
      <c r="J37" s="4">
        <v>1050270</v>
      </c>
      <c r="K37" s="4">
        <v>4013217</v>
      </c>
      <c r="L37" s="5" t="s">
        <v>212</v>
      </c>
      <c r="M37" s="4">
        <v>207652</v>
      </c>
      <c r="N37" s="6" t="s">
        <v>213</v>
      </c>
      <c r="O37" s="1" t="s">
        <v>214</v>
      </c>
      <c r="Q37" s="1">
        <v>20</v>
      </c>
      <c r="R37" s="1">
        <v>0.30640000000000001</v>
      </c>
      <c r="S37" s="10">
        <f t="shared" si="0"/>
        <v>81.589680000000001</v>
      </c>
      <c r="T37" s="12">
        <f t="shared" si="1"/>
        <v>266.28485639686681</v>
      </c>
    </row>
    <row r="38" spans="1:20" x14ac:dyDescent="0.2">
      <c r="A38">
        <v>22</v>
      </c>
      <c r="B38" t="s">
        <v>54</v>
      </c>
      <c r="C38" t="s">
        <v>55</v>
      </c>
      <c r="D38" t="s">
        <v>123</v>
      </c>
      <c r="H38" t="s">
        <v>20</v>
      </c>
      <c r="I38" s="2">
        <v>51.158999999999999</v>
      </c>
      <c r="J38" s="4">
        <v>1549979</v>
      </c>
      <c r="K38" s="4">
        <v>4081180</v>
      </c>
      <c r="L38" s="5" t="s">
        <v>215</v>
      </c>
      <c r="M38" s="4">
        <v>303470</v>
      </c>
      <c r="N38" s="6" t="s">
        <v>216</v>
      </c>
      <c r="O38" s="1" t="s">
        <v>146</v>
      </c>
      <c r="Q38" s="1">
        <v>20</v>
      </c>
      <c r="R38" s="1">
        <v>0.29499999999999998</v>
      </c>
      <c r="S38" s="10">
        <f t="shared" si="0"/>
        <v>119.34371519999999</v>
      </c>
      <c r="T38" s="12">
        <f t="shared" si="1"/>
        <v>404.55496677966102</v>
      </c>
    </row>
    <row r="39" spans="1:20" x14ac:dyDescent="0.2">
      <c r="A39">
        <v>23</v>
      </c>
      <c r="B39" t="s">
        <v>56</v>
      </c>
      <c r="C39" t="s">
        <v>57</v>
      </c>
      <c r="D39" t="s">
        <v>123</v>
      </c>
      <c r="H39" t="s">
        <v>20</v>
      </c>
      <c r="I39" s="2">
        <v>83.82</v>
      </c>
      <c r="J39" s="4">
        <v>2407979</v>
      </c>
      <c r="K39" s="4">
        <v>3899976</v>
      </c>
      <c r="L39" s="5" t="s">
        <v>217</v>
      </c>
      <c r="M39" s="4">
        <v>474271</v>
      </c>
      <c r="N39" s="6" t="s">
        <v>218</v>
      </c>
      <c r="O39" s="1" t="s">
        <v>219</v>
      </c>
      <c r="Q39" s="1">
        <v>20</v>
      </c>
      <c r="R39" s="1">
        <v>0.31040000000000001</v>
      </c>
      <c r="S39" s="10">
        <f t="shared" si="0"/>
        <v>195.53529599999999</v>
      </c>
      <c r="T39" s="12">
        <f t="shared" si="1"/>
        <v>629.94618556701028</v>
      </c>
    </row>
    <row r="40" spans="1:20" x14ac:dyDescent="0.2">
      <c r="A40">
        <v>24</v>
      </c>
      <c r="B40" t="s">
        <v>58</v>
      </c>
      <c r="C40" t="s">
        <v>59</v>
      </c>
      <c r="D40" t="s">
        <v>123</v>
      </c>
      <c r="H40" t="s">
        <v>20</v>
      </c>
      <c r="I40" s="2">
        <v>110.944</v>
      </c>
      <c r="J40" s="4">
        <v>2987919</v>
      </c>
      <c r="K40" s="4">
        <v>3670140</v>
      </c>
      <c r="L40" s="5" t="s">
        <v>220</v>
      </c>
      <c r="M40" s="4">
        <v>582760</v>
      </c>
      <c r="N40" s="6" t="s">
        <v>221</v>
      </c>
      <c r="O40" s="1" t="s">
        <v>202</v>
      </c>
      <c r="Q40" s="1">
        <v>20</v>
      </c>
      <c r="R40" s="1">
        <v>0.31040000000000001</v>
      </c>
      <c r="S40" s="10">
        <f t="shared" si="0"/>
        <v>258.81016320000003</v>
      </c>
      <c r="T40" s="12">
        <f t="shared" si="1"/>
        <v>833.79562886597944</v>
      </c>
    </row>
    <row r="41" spans="1:20" x14ac:dyDescent="0.2">
      <c r="A41">
        <v>25</v>
      </c>
      <c r="B41" t="s">
        <v>60</v>
      </c>
      <c r="C41" t="s">
        <v>61</v>
      </c>
      <c r="D41" t="s">
        <v>123</v>
      </c>
      <c r="H41" t="s">
        <v>20</v>
      </c>
      <c r="I41" s="2">
        <v>72.759</v>
      </c>
      <c r="J41" s="4">
        <v>2067102</v>
      </c>
      <c r="K41" s="4">
        <v>3848983</v>
      </c>
      <c r="L41" s="5" t="s">
        <v>222</v>
      </c>
      <c r="M41" s="4">
        <v>403568</v>
      </c>
      <c r="N41" s="6" t="s">
        <v>223</v>
      </c>
      <c r="O41" s="1" t="s">
        <v>224</v>
      </c>
      <c r="Q41" s="1">
        <v>20</v>
      </c>
      <c r="R41" s="1">
        <v>0.30270000000000002</v>
      </c>
      <c r="S41" s="10">
        <f t="shared" si="0"/>
        <v>169.73219520000004</v>
      </c>
      <c r="T41" s="12">
        <f t="shared" si="1"/>
        <v>560.72743706640244</v>
      </c>
    </row>
    <row r="42" spans="1:20" x14ac:dyDescent="0.2">
      <c r="A42">
        <v>26</v>
      </c>
      <c r="B42" t="s">
        <v>62</v>
      </c>
      <c r="C42" t="s">
        <v>63</v>
      </c>
      <c r="D42" t="s">
        <v>123</v>
      </c>
      <c r="H42" t="s">
        <v>20</v>
      </c>
      <c r="I42" s="2">
        <v>83.725999999999999</v>
      </c>
      <c r="J42" s="4">
        <v>2404668</v>
      </c>
      <c r="K42" s="4">
        <v>3898925</v>
      </c>
      <c r="L42" s="5" t="s">
        <v>225</v>
      </c>
      <c r="M42" s="4">
        <v>469907</v>
      </c>
      <c r="N42" s="6" t="s">
        <v>226</v>
      </c>
      <c r="O42" s="1" t="s">
        <v>224</v>
      </c>
      <c r="Q42" s="1">
        <v>20</v>
      </c>
      <c r="R42" s="1">
        <v>0.29899999999999999</v>
      </c>
      <c r="S42" s="10">
        <f t="shared" si="0"/>
        <v>195.31601279999998</v>
      </c>
      <c r="T42" s="12">
        <f t="shared" si="1"/>
        <v>653.23081204013374</v>
      </c>
    </row>
    <row r="43" spans="1:20" x14ac:dyDescent="0.2">
      <c r="A43">
        <v>27</v>
      </c>
      <c r="B43" t="s">
        <v>64</v>
      </c>
      <c r="C43" t="s">
        <v>65</v>
      </c>
      <c r="D43" t="s">
        <v>123</v>
      </c>
      <c r="H43" t="s">
        <v>20</v>
      </c>
      <c r="I43" s="2">
        <v>1740.9739999999999</v>
      </c>
      <c r="J43" s="4">
        <v>40710988</v>
      </c>
      <c r="K43" s="4">
        <v>3537350</v>
      </c>
      <c r="L43" s="5" t="s">
        <v>227</v>
      </c>
      <c r="M43" s="4">
        <v>8592478</v>
      </c>
      <c r="N43" s="6" t="s">
        <v>228</v>
      </c>
      <c r="O43" s="1" t="s">
        <v>229</v>
      </c>
      <c r="Q43" s="1">
        <v>20</v>
      </c>
      <c r="R43" s="1">
        <v>0.30009999999999998</v>
      </c>
      <c r="S43" s="10">
        <f t="shared" si="0"/>
        <v>4061.3441471999995</v>
      </c>
      <c r="T43" s="12">
        <f t="shared" si="1"/>
        <v>13533.302723092302</v>
      </c>
    </row>
    <row r="44" spans="1:20" x14ac:dyDescent="0.2">
      <c r="A44">
        <v>28</v>
      </c>
      <c r="B44" t="s">
        <v>66</v>
      </c>
      <c r="C44" t="s">
        <v>67</v>
      </c>
      <c r="D44" t="s">
        <v>123</v>
      </c>
      <c r="H44" t="s">
        <v>20</v>
      </c>
      <c r="I44" s="2">
        <v>2323.9989999999998</v>
      </c>
      <c r="J44" s="4">
        <v>50783632</v>
      </c>
      <c r="K44" s="4">
        <v>3432050</v>
      </c>
      <c r="L44" s="5" t="s">
        <v>230</v>
      </c>
      <c r="M44" s="4">
        <v>10698666</v>
      </c>
      <c r="N44" s="6" t="s">
        <v>231</v>
      </c>
      <c r="O44" s="1" t="s">
        <v>232</v>
      </c>
      <c r="Q44" s="1">
        <v>20</v>
      </c>
      <c r="R44" s="1">
        <v>0.29360000000000003</v>
      </c>
      <c r="S44" s="10">
        <f t="shared" si="0"/>
        <v>5421.4248672000003</v>
      </c>
      <c r="T44" s="12">
        <f t="shared" si="1"/>
        <v>18465.343553133513</v>
      </c>
    </row>
    <row r="45" spans="1:20" x14ac:dyDescent="0.2">
      <c r="A45">
        <v>29</v>
      </c>
      <c r="B45" t="s">
        <v>68</v>
      </c>
      <c r="C45" t="s">
        <v>69</v>
      </c>
      <c r="D45" t="s">
        <v>123</v>
      </c>
      <c r="H45" t="s">
        <v>20</v>
      </c>
      <c r="I45" s="2">
        <v>158.19499999999999</v>
      </c>
      <c r="J45" s="4">
        <v>4513073</v>
      </c>
      <c r="K45" s="4">
        <v>3906492</v>
      </c>
      <c r="L45" s="5" t="s">
        <v>233</v>
      </c>
      <c r="M45" s="4">
        <v>878250</v>
      </c>
      <c r="N45" s="6" t="s">
        <v>234</v>
      </c>
      <c r="O45" s="1" t="s">
        <v>235</v>
      </c>
      <c r="Q45" s="1">
        <v>20</v>
      </c>
      <c r="R45" s="1">
        <v>0.30249999999999999</v>
      </c>
      <c r="S45" s="10">
        <f t="shared" si="0"/>
        <v>369.03729599999991</v>
      </c>
      <c r="T45" s="12">
        <f t="shared" si="1"/>
        <v>1219.9580033057848</v>
      </c>
    </row>
    <row r="46" spans="1:20" x14ac:dyDescent="0.2">
      <c r="A46">
        <v>30</v>
      </c>
      <c r="B46" t="s">
        <v>70</v>
      </c>
      <c r="C46" t="s">
        <v>71</v>
      </c>
      <c r="D46" t="s">
        <v>123</v>
      </c>
      <c r="H46" t="s">
        <v>20</v>
      </c>
      <c r="I46" s="2">
        <v>91.018000000000001</v>
      </c>
      <c r="J46" s="4">
        <v>2594317</v>
      </c>
      <c r="K46" s="4">
        <v>7747877</v>
      </c>
      <c r="L46" s="5" t="s">
        <v>236</v>
      </c>
      <c r="M46" s="4">
        <v>523892</v>
      </c>
      <c r="N46" s="6" t="s">
        <v>237</v>
      </c>
      <c r="O46" s="1" t="s">
        <v>238</v>
      </c>
      <c r="Q46" s="1">
        <v>20</v>
      </c>
      <c r="R46" s="1">
        <v>0.3115</v>
      </c>
      <c r="S46" s="10">
        <f t="shared" si="0"/>
        <v>212.32679040000002</v>
      </c>
      <c r="T46" s="12">
        <f t="shared" si="1"/>
        <v>681.62693547351535</v>
      </c>
    </row>
    <row r="47" spans="1:20" x14ac:dyDescent="0.2">
      <c r="A47">
        <v>31</v>
      </c>
      <c r="B47" t="s">
        <v>72</v>
      </c>
      <c r="C47" t="s">
        <v>73</v>
      </c>
      <c r="D47" t="s">
        <v>123</v>
      </c>
      <c r="H47" t="s">
        <v>20</v>
      </c>
      <c r="I47" s="2">
        <v>247.32499999999999</v>
      </c>
      <c r="J47" s="4">
        <v>6422277</v>
      </c>
      <c r="K47" s="4">
        <v>7160737</v>
      </c>
      <c r="L47" s="5" t="s">
        <v>239</v>
      </c>
      <c r="M47" s="4">
        <v>1261674</v>
      </c>
      <c r="N47" s="6" t="s">
        <v>240</v>
      </c>
      <c r="O47" s="1" t="s">
        <v>241</v>
      </c>
      <c r="Q47" s="1">
        <v>20</v>
      </c>
      <c r="R47" s="1">
        <v>0.29770000000000002</v>
      </c>
      <c r="S47" s="10">
        <f t="shared" si="0"/>
        <v>576.95976000000007</v>
      </c>
      <c r="T47" s="12">
        <f t="shared" si="1"/>
        <v>1938.0576419213976</v>
      </c>
    </row>
    <row r="48" spans="1:20" x14ac:dyDescent="0.2">
      <c r="A48">
        <v>32</v>
      </c>
      <c r="B48" t="s">
        <v>74</v>
      </c>
      <c r="C48" t="s">
        <v>75</v>
      </c>
      <c r="D48" t="s">
        <v>123</v>
      </c>
      <c r="H48" t="s">
        <v>20</v>
      </c>
      <c r="I48" s="2">
        <v>280.60399999999998</v>
      </c>
      <c r="J48" s="4">
        <v>7942389</v>
      </c>
      <c r="K48" s="4">
        <v>3911651</v>
      </c>
      <c r="L48" s="5" t="s">
        <v>242</v>
      </c>
      <c r="M48" s="4">
        <v>1550602</v>
      </c>
      <c r="N48" s="6" t="s">
        <v>243</v>
      </c>
      <c r="O48" s="1" t="s">
        <v>224</v>
      </c>
      <c r="Q48" s="1">
        <v>20</v>
      </c>
      <c r="R48" s="1">
        <v>0.3019</v>
      </c>
      <c r="S48" s="10">
        <f t="shared" si="0"/>
        <v>654.59301119999986</v>
      </c>
      <c r="T48" s="12">
        <f t="shared" si="1"/>
        <v>2168.2444889036101</v>
      </c>
    </row>
    <row r="49" spans="1:20" x14ac:dyDescent="0.2">
      <c r="A49">
        <v>33</v>
      </c>
      <c r="B49" t="s">
        <v>76</v>
      </c>
      <c r="C49" t="s">
        <v>77</v>
      </c>
      <c r="D49" t="s">
        <v>123</v>
      </c>
      <c r="H49" t="s">
        <v>20</v>
      </c>
      <c r="I49" s="2">
        <v>190.483</v>
      </c>
      <c r="J49" s="4">
        <v>5306224</v>
      </c>
      <c r="K49" s="4">
        <v>3824773</v>
      </c>
      <c r="L49" s="5" t="s">
        <v>244</v>
      </c>
      <c r="M49" s="4">
        <v>1038068</v>
      </c>
      <c r="N49" s="6" t="s">
        <v>245</v>
      </c>
      <c r="O49" s="1" t="s">
        <v>146</v>
      </c>
      <c r="Q49" s="1">
        <v>20</v>
      </c>
      <c r="R49" s="1">
        <v>0.314</v>
      </c>
      <c r="S49" s="10">
        <f t="shared" si="0"/>
        <v>444.35874239999998</v>
      </c>
      <c r="T49" s="12">
        <f t="shared" si="1"/>
        <v>1415.1552305732484</v>
      </c>
    </row>
    <row r="50" spans="1:20" x14ac:dyDescent="0.2">
      <c r="A50">
        <v>34</v>
      </c>
      <c r="B50" t="s">
        <v>78</v>
      </c>
      <c r="C50" t="s">
        <v>79</v>
      </c>
      <c r="D50" t="s">
        <v>123</v>
      </c>
      <c r="H50" t="s">
        <v>20</v>
      </c>
      <c r="I50" s="2">
        <v>225.124</v>
      </c>
      <c r="J50" s="4">
        <v>6283023</v>
      </c>
      <c r="K50" s="4">
        <v>3842052</v>
      </c>
      <c r="L50" s="5" t="s">
        <v>246</v>
      </c>
      <c r="M50" s="4">
        <v>1238943</v>
      </c>
      <c r="N50" s="6" t="s">
        <v>247</v>
      </c>
      <c r="O50" s="1" t="s">
        <v>154</v>
      </c>
      <c r="Q50" s="1">
        <v>20</v>
      </c>
      <c r="R50" s="1">
        <v>0.29909999999999998</v>
      </c>
      <c r="S50" s="10">
        <f t="shared" si="0"/>
        <v>525.16926719999992</v>
      </c>
      <c r="T50" s="12">
        <f t="shared" si="1"/>
        <v>1755.8317191574722</v>
      </c>
    </row>
    <row r="51" spans="1:20" x14ac:dyDescent="0.2">
      <c r="A51">
        <v>35</v>
      </c>
      <c r="B51" t="s">
        <v>80</v>
      </c>
      <c r="C51" t="s">
        <v>81</v>
      </c>
      <c r="D51" t="s">
        <v>123</v>
      </c>
      <c r="H51" t="s">
        <v>20</v>
      </c>
      <c r="I51" s="2">
        <v>375.15800000000002</v>
      </c>
      <c r="J51" s="4">
        <v>10472580</v>
      </c>
      <c r="K51" s="4">
        <v>3881726</v>
      </c>
      <c r="L51" s="5" t="s">
        <v>248</v>
      </c>
      <c r="M51" s="4">
        <v>2071135</v>
      </c>
      <c r="N51" s="6" t="s">
        <v>249</v>
      </c>
      <c r="O51" s="1" t="s">
        <v>214</v>
      </c>
      <c r="Q51" s="1">
        <v>20</v>
      </c>
      <c r="R51" s="1">
        <v>0.30609999999999998</v>
      </c>
      <c r="S51" s="10">
        <f t="shared" si="0"/>
        <v>875.16858239999999</v>
      </c>
      <c r="T51" s="12">
        <f t="shared" si="1"/>
        <v>2859.0937027115324</v>
      </c>
    </row>
    <row r="52" spans="1:20" x14ac:dyDescent="0.2">
      <c r="A52">
        <v>36</v>
      </c>
      <c r="B52" t="s">
        <v>82</v>
      </c>
      <c r="C52" t="s">
        <v>83</v>
      </c>
      <c r="D52" t="s">
        <v>123</v>
      </c>
      <c r="H52" t="s">
        <v>20</v>
      </c>
      <c r="I52" s="2">
        <v>348.74599999999998</v>
      </c>
      <c r="J52" s="4">
        <v>9459470</v>
      </c>
      <c r="K52" s="4">
        <v>3765377</v>
      </c>
      <c r="L52" s="5" t="s">
        <v>250</v>
      </c>
      <c r="M52" s="4">
        <v>1839009</v>
      </c>
      <c r="N52" s="6" t="s">
        <v>251</v>
      </c>
      <c r="O52" s="1" t="s">
        <v>235</v>
      </c>
      <c r="Q52" s="1">
        <v>20</v>
      </c>
      <c r="R52" s="1">
        <v>0.29799999999999999</v>
      </c>
      <c r="S52" s="10">
        <f t="shared" si="0"/>
        <v>813.55466880000017</v>
      </c>
      <c r="T52" s="12">
        <f t="shared" si="1"/>
        <v>2730.0492241610746</v>
      </c>
    </row>
    <row r="53" spans="1:20" x14ac:dyDescent="0.2">
      <c r="A53">
        <v>37</v>
      </c>
      <c r="B53" t="s">
        <v>84</v>
      </c>
      <c r="C53" t="s">
        <v>85</v>
      </c>
      <c r="D53" t="s">
        <v>123</v>
      </c>
      <c r="H53" t="s">
        <v>20</v>
      </c>
      <c r="I53" s="2">
        <v>239.227</v>
      </c>
      <c r="J53" s="4">
        <v>6820311</v>
      </c>
      <c r="K53" s="4">
        <v>3928725</v>
      </c>
      <c r="L53" s="5" t="s">
        <v>252</v>
      </c>
      <c r="M53" s="4">
        <v>1335997</v>
      </c>
      <c r="N53" s="6" t="s">
        <v>253</v>
      </c>
      <c r="O53" s="1" t="s">
        <v>146</v>
      </c>
      <c r="Q53" s="1">
        <v>20</v>
      </c>
      <c r="R53" s="1">
        <v>0.31680000000000003</v>
      </c>
      <c r="S53" s="10">
        <f t="shared" si="0"/>
        <v>558.06874559999994</v>
      </c>
      <c r="T53" s="12">
        <f t="shared" si="1"/>
        <v>1761.5806363636361</v>
      </c>
    </row>
    <row r="54" spans="1:20" x14ac:dyDescent="0.2">
      <c r="A54">
        <v>38</v>
      </c>
      <c r="B54" t="s">
        <v>86</v>
      </c>
      <c r="C54" t="s">
        <v>87</v>
      </c>
      <c r="D54" t="s">
        <v>123</v>
      </c>
      <c r="H54" t="s">
        <v>20</v>
      </c>
      <c r="I54" s="2">
        <v>277.95299999999997</v>
      </c>
      <c r="J54" s="4">
        <v>7784998</v>
      </c>
      <c r="K54" s="4">
        <v>3870013</v>
      </c>
      <c r="L54" s="5" t="s">
        <v>254</v>
      </c>
      <c r="M54" s="4">
        <v>1516259</v>
      </c>
      <c r="N54" s="6" t="s">
        <v>255</v>
      </c>
      <c r="O54" s="1" t="s">
        <v>202</v>
      </c>
      <c r="Q54" s="1">
        <v>20</v>
      </c>
      <c r="R54" s="1">
        <v>0.3145</v>
      </c>
      <c r="S54" s="10">
        <f t="shared" si="0"/>
        <v>648.40875840000001</v>
      </c>
      <c r="T54" s="12">
        <f t="shared" si="1"/>
        <v>2061.71306327504</v>
      </c>
    </row>
    <row r="55" spans="1:20" x14ac:dyDescent="0.2">
      <c r="A55">
        <v>39</v>
      </c>
      <c r="B55" t="s">
        <v>88</v>
      </c>
      <c r="C55" t="s">
        <v>89</v>
      </c>
      <c r="D55" t="s">
        <v>123</v>
      </c>
      <c r="H55" t="s">
        <v>20</v>
      </c>
      <c r="I55" s="2">
        <v>1134.0350000000001</v>
      </c>
      <c r="J55" s="4">
        <v>35917948</v>
      </c>
      <c r="K55" s="4">
        <v>922612</v>
      </c>
      <c r="L55" s="5" t="s">
        <v>256</v>
      </c>
      <c r="M55" s="4">
        <v>7594381</v>
      </c>
      <c r="N55" s="6" t="s">
        <v>257</v>
      </c>
      <c r="O55" s="1" t="s">
        <v>258</v>
      </c>
      <c r="Q55" s="1">
        <v>100</v>
      </c>
      <c r="R55" s="1">
        <v>0.31690000000000002</v>
      </c>
      <c r="S55" s="10">
        <f t="shared" si="0"/>
        <v>13227.384240000003</v>
      </c>
      <c r="T55" s="12">
        <f t="shared" si="1"/>
        <v>41739.931334805937</v>
      </c>
    </row>
    <row r="56" spans="1:20" x14ac:dyDescent="0.2">
      <c r="A56">
        <v>40</v>
      </c>
      <c r="B56" t="s">
        <v>90</v>
      </c>
      <c r="D56" t="s">
        <v>123</v>
      </c>
      <c r="H56" t="s">
        <v>20</v>
      </c>
      <c r="J56" s="4">
        <v>30109</v>
      </c>
      <c r="K56" s="4">
        <v>1846</v>
      </c>
      <c r="M56" s="4">
        <v>6104</v>
      </c>
      <c r="N56" s="6" t="s">
        <v>259</v>
      </c>
      <c r="O56" s="1" t="s">
        <v>260</v>
      </c>
    </row>
    <row r="57" spans="1:20" x14ac:dyDescent="0.2">
      <c r="A57">
        <v>41</v>
      </c>
      <c r="B57" t="s">
        <v>91</v>
      </c>
      <c r="D57" t="s">
        <v>123</v>
      </c>
      <c r="H57" t="s">
        <v>20</v>
      </c>
      <c r="J57" s="4">
        <v>7851</v>
      </c>
      <c r="K57" s="4">
        <v>872</v>
      </c>
      <c r="M57" s="4">
        <v>1767</v>
      </c>
      <c r="N57" s="6" t="s">
        <v>261</v>
      </c>
      <c r="O57" s="1" t="s">
        <v>262</v>
      </c>
    </row>
    <row r="58" spans="1:20" x14ac:dyDescent="0.2">
      <c r="A58">
        <v>42</v>
      </c>
      <c r="B58" t="s">
        <v>92</v>
      </c>
      <c r="C58" t="s">
        <v>89</v>
      </c>
      <c r="D58" t="s">
        <v>123</v>
      </c>
      <c r="H58" t="s">
        <v>93</v>
      </c>
      <c r="J58" s="4">
        <v>91759456</v>
      </c>
      <c r="K58" s="4">
        <v>2417559</v>
      </c>
      <c r="L58" s="5" t="s">
        <v>263</v>
      </c>
      <c r="M58" s="4">
        <v>21523314</v>
      </c>
      <c r="N58" s="6" t="s">
        <v>264</v>
      </c>
      <c r="O58" s="1" t="s">
        <v>265</v>
      </c>
      <c r="Q58" s="1">
        <v>20</v>
      </c>
      <c r="R58" s="1">
        <v>0.31690000000000002</v>
      </c>
      <c r="S58" s="10">
        <f t="shared" ref="S58" si="2">((I58*Q58*1.5)/1000)*(6/0.1)*1.296</f>
        <v>0</v>
      </c>
      <c r="T58" s="10">
        <f t="shared" ref="T58" si="3">S58/R58</f>
        <v>0</v>
      </c>
    </row>
    <row r="59" spans="1:20" x14ac:dyDescent="0.2">
      <c r="A59">
        <v>43</v>
      </c>
      <c r="B59" t="s">
        <v>94</v>
      </c>
      <c r="C59" t="s">
        <v>81</v>
      </c>
      <c r="D59" t="s">
        <v>123</v>
      </c>
      <c r="H59" t="s">
        <v>93</v>
      </c>
      <c r="J59" s="4">
        <v>74059840</v>
      </c>
      <c r="K59" s="4">
        <v>25656948</v>
      </c>
      <c r="L59" s="5" t="s">
        <v>266</v>
      </c>
      <c r="M59" s="4">
        <v>16609614</v>
      </c>
      <c r="N59" s="6" t="s">
        <v>267</v>
      </c>
      <c r="O59" s="1" t="s">
        <v>268</v>
      </c>
      <c r="Q59" s="1">
        <v>1</v>
      </c>
      <c r="R59" s="1">
        <v>0.30609999999999998</v>
      </c>
      <c r="S59" s="10">
        <f t="shared" ref="S59:S78" si="4">((I59*Q59*1.5)/1000)*(6/0.1)*1.296</f>
        <v>0</v>
      </c>
      <c r="T59" s="10">
        <f t="shared" ref="T59:T78" si="5">S59/R59</f>
        <v>0</v>
      </c>
    </row>
    <row r="60" spans="1:20" x14ac:dyDescent="0.2">
      <c r="A60">
        <v>44</v>
      </c>
      <c r="B60" t="s">
        <v>95</v>
      </c>
      <c r="C60" t="s">
        <v>83</v>
      </c>
      <c r="D60" t="s">
        <v>123</v>
      </c>
      <c r="H60" t="s">
        <v>93</v>
      </c>
      <c r="J60" s="4">
        <v>69385608</v>
      </c>
      <c r="K60" s="4">
        <v>25808964</v>
      </c>
      <c r="L60" s="5" t="s">
        <v>269</v>
      </c>
      <c r="M60" s="4">
        <v>15556188</v>
      </c>
      <c r="N60" s="6" t="s">
        <v>270</v>
      </c>
      <c r="O60" s="1" t="s">
        <v>268</v>
      </c>
      <c r="Q60" s="1">
        <v>1</v>
      </c>
      <c r="R60" s="1">
        <v>0.29799999999999999</v>
      </c>
      <c r="S60" s="10">
        <f t="shared" si="4"/>
        <v>0</v>
      </c>
      <c r="T60" s="10">
        <f t="shared" si="5"/>
        <v>0</v>
      </c>
    </row>
    <row r="61" spans="1:20" x14ac:dyDescent="0.2">
      <c r="A61">
        <v>45</v>
      </c>
      <c r="B61" t="s">
        <v>96</v>
      </c>
      <c r="C61" t="s">
        <v>85</v>
      </c>
      <c r="D61" t="s">
        <v>123</v>
      </c>
      <c r="H61" t="s">
        <v>93</v>
      </c>
      <c r="J61" s="4">
        <v>49354884</v>
      </c>
      <c r="K61" s="4">
        <v>25451846</v>
      </c>
      <c r="L61" s="5" t="s">
        <v>271</v>
      </c>
      <c r="M61" s="4">
        <v>10855615</v>
      </c>
      <c r="N61" s="6" t="s">
        <v>272</v>
      </c>
      <c r="O61" s="1" t="s">
        <v>190</v>
      </c>
      <c r="Q61" s="1">
        <v>1</v>
      </c>
      <c r="R61" s="1">
        <v>0.31680000000000003</v>
      </c>
      <c r="S61" s="10">
        <f t="shared" si="4"/>
        <v>0</v>
      </c>
      <c r="T61" s="10">
        <f t="shared" si="5"/>
        <v>0</v>
      </c>
    </row>
    <row r="62" spans="1:20" x14ac:dyDescent="0.2">
      <c r="A62">
        <v>46</v>
      </c>
      <c r="B62" t="s">
        <v>97</v>
      </c>
      <c r="C62" t="s">
        <v>87</v>
      </c>
      <c r="D62" t="s">
        <v>123</v>
      </c>
      <c r="H62" t="s">
        <v>93</v>
      </c>
      <c r="J62" s="4">
        <v>55923512</v>
      </c>
      <c r="K62" s="4">
        <v>25446148</v>
      </c>
      <c r="L62" s="5" t="s">
        <v>273</v>
      </c>
      <c r="M62" s="4">
        <v>12384019</v>
      </c>
      <c r="N62" s="6" t="s">
        <v>274</v>
      </c>
      <c r="O62" s="1" t="s">
        <v>275</v>
      </c>
      <c r="Q62" s="1">
        <v>1</v>
      </c>
      <c r="R62" s="1">
        <v>0.3145</v>
      </c>
      <c r="S62" s="10">
        <f t="shared" si="4"/>
        <v>0</v>
      </c>
      <c r="T62" s="10">
        <f t="shared" si="5"/>
        <v>0</v>
      </c>
    </row>
    <row r="63" spans="1:20" x14ac:dyDescent="0.2">
      <c r="A63">
        <v>47</v>
      </c>
      <c r="B63" t="s">
        <v>98</v>
      </c>
      <c r="C63" t="s">
        <v>73</v>
      </c>
      <c r="D63" t="s">
        <v>123</v>
      </c>
      <c r="H63" t="s">
        <v>93</v>
      </c>
      <c r="J63" s="4">
        <v>48815888</v>
      </c>
      <c r="K63" s="4">
        <v>47137000</v>
      </c>
      <c r="L63" s="5" t="s">
        <v>276</v>
      </c>
      <c r="M63" s="4">
        <v>10912890</v>
      </c>
      <c r="N63" s="6" t="s">
        <v>277</v>
      </c>
      <c r="O63" s="1" t="s">
        <v>166</v>
      </c>
      <c r="Q63" s="1">
        <v>1</v>
      </c>
      <c r="R63" s="1">
        <v>0.29770000000000002</v>
      </c>
      <c r="S63" s="10">
        <f t="shared" si="4"/>
        <v>0</v>
      </c>
      <c r="T63" s="10">
        <f t="shared" si="5"/>
        <v>0</v>
      </c>
    </row>
    <row r="64" spans="1:20" x14ac:dyDescent="0.2">
      <c r="A64">
        <v>48</v>
      </c>
      <c r="B64" t="s">
        <v>99</v>
      </c>
      <c r="C64" t="s">
        <v>75</v>
      </c>
      <c r="D64" t="s">
        <v>123</v>
      </c>
      <c r="H64" t="s">
        <v>93</v>
      </c>
      <c r="J64" s="4">
        <v>57512860</v>
      </c>
      <c r="K64" s="4">
        <v>25673806</v>
      </c>
      <c r="L64" s="5" t="s">
        <v>278</v>
      </c>
      <c r="M64" s="4">
        <v>12768169</v>
      </c>
      <c r="N64" s="6" t="s">
        <v>279</v>
      </c>
      <c r="O64" s="1" t="s">
        <v>193</v>
      </c>
      <c r="Q64" s="1">
        <v>1</v>
      </c>
      <c r="R64" s="1">
        <v>0.3019</v>
      </c>
      <c r="S64" s="10">
        <f t="shared" si="4"/>
        <v>0</v>
      </c>
      <c r="T64" s="10">
        <f t="shared" si="5"/>
        <v>0</v>
      </c>
    </row>
    <row r="65" spans="1:20" x14ac:dyDescent="0.2">
      <c r="A65">
        <v>49</v>
      </c>
      <c r="B65" t="s">
        <v>100</v>
      </c>
      <c r="C65" t="s">
        <v>77</v>
      </c>
      <c r="D65" t="s">
        <v>123</v>
      </c>
      <c r="H65" t="s">
        <v>20</v>
      </c>
      <c r="I65" s="2">
        <v>6402.7269999999999</v>
      </c>
      <c r="J65" s="4">
        <v>45698736</v>
      </c>
      <c r="K65" s="4">
        <v>30587276</v>
      </c>
      <c r="L65" s="5" t="s">
        <v>280</v>
      </c>
      <c r="M65" s="4">
        <v>9957244</v>
      </c>
      <c r="N65" s="6" t="s">
        <v>281</v>
      </c>
      <c r="O65" s="1" t="s">
        <v>282</v>
      </c>
      <c r="Q65" s="1">
        <v>1</v>
      </c>
      <c r="R65" s="1">
        <v>0.314</v>
      </c>
      <c r="S65" s="10">
        <f t="shared" si="4"/>
        <v>746.81407727999999</v>
      </c>
      <c r="T65" s="10">
        <f t="shared" si="5"/>
        <v>2378.388781146497</v>
      </c>
    </row>
    <row r="66" spans="1:20" x14ac:dyDescent="0.2">
      <c r="A66">
        <v>50</v>
      </c>
      <c r="B66" t="s">
        <v>101</v>
      </c>
      <c r="C66" t="s">
        <v>79</v>
      </c>
      <c r="D66" t="s">
        <v>123</v>
      </c>
      <c r="H66" t="s">
        <v>93</v>
      </c>
      <c r="J66" s="4">
        <v>49365188</v>
      </c>
      <c r="K66" s="4">
        <v>27477638</v>
      </c>
      <c r="L66" s="5" t="s">
        <v>283</v>
      </c>
      <c r="M66" s="4">
        <v>10838962</v>
      </c>
      <c r="N66" s="6" t="s">
        <v>284</v>
      </c>
      <c r="O66" s="1" t="s">
        <v>190</v>
      </c>
      <c r="Q66" s="1">
        <v>1</v>
      </c>
      <c r="R66" s="1">
        <v>0.29909999999999998</v>
      </c>
      <c r="S66" s="10">
        <f t="shared" si="4"/>
        <v>0</v>
      </c>
      <c r="T66" s="10">
        <f t="shared" si="5"/>
        <v>0</v>
      </c>
    </row>
    <row r="67" spans="1:20" x14ac:dyDescent="0.2">
      <c r="A67">
        <v>51</v>
      </c>
      <c r="B67" t="s">
        <v>102</v>
      </c>
      <c r="C67" t="s">
        <v>65</v>
      </c>
      <c r="D67" t="s">
        <v>123</v>
      </c>
      <c r="H67" t="s">
        <v>93</v>
      </c>
      <c r="J67" s="4">
        <v>139309968</v>
      </c>
      <c r="K67" s="4">
        <v>15516010</v>
      </c>
      <c r="L67" s="5" t="s">
        <v>285</v>
      </c>
      <c r="M67" s="4">
        <v>43764864</v>
      </c>
      <c r="N67" s="6" t="s">
        <v>286</v>
      </c>
      <c r="O67" s="1" t="s">
        <v>287</v>
      </c>
      <c r="Q67" s="1">
        <v>1</v>
      </c>
      <c r="R67" s="1">
        <v>0.30009999999999998</v>
      </c>
      <c r="S67" s="10">
        <f t="shared" si="4"/>
        <v>0</v>
      </c>
      <c r="T67" s="10">
        <f t="shared" si="5"/>
        <v>0</v>
      </c>
    </row>
    <row r="68" spans="1:20" x14ac:dyDescent="0.2">
      <c r="A68">
        <v>52</v>
      </c>
      <c r="B68" t="s">
        <v>103</v>
      </c>
      <c r="C68" t="s">
        <v>67</v>
      </c>
      <c r="D68" t="s">
        <v>123</v>
      </c>
      <c r="H68" t="s">
        <v>93</v>
      </c>
      <c r="J68" s="4">
        <v>144577296</v>
      </c>
      <c r="K68" s="4">
        <v>12855807</v>
      </c>
      <c r="L68" s="5" t="s">
        <v>288</v>
      </c>
      <c r="M68" s="4">
        <v>46987220</v>
      </c>
      <c r="N68" s="6" t="s">
        <v>289</v>
      </c>
      <c r="O68" s="1" t="s">
        <v>290</v>
      </c>
      <c r="Q68" s="1">
        <v>1</v>
      </c>
      <c r="R68" s="1">
        <v>0.29360000000000003</v>
      </c>
      <c r="S68" s="10">
        <f t="shared" si="4"/>
        <v>0</v>
      </c>
      <c r="T68" s="10">
        <f t="shared" si="5"/>
        <v>0</v>
      </c>
    </row>
    <row r="69" spans="1:20" x14ac:dyDescent="0.2">
      <c r="A69">
        <v>53</v>
      </c>
      <c r="B69" t="s">
        <v>104</v>
      </c>
      <c r="C69" t="s">
        <v>69</v>
      </c>
      <c r="D69" t="s">
        <v>123</v>
      </c>
      <c r="H69" t="s">
        <v>20</v>
      </c>
      <c r="I69" s="2">
        <v>4807.4260000000004</v>
      </c>
      <c r="J69" s="4">
        <v>34213532</v>
      </c>
      <c r="K69" s="4">
        <v>26697154</v>
      </c>
      <c r="L69" s="5" t="s">
        <v>291</v>
      </c>
      <c r="M69" s="4">
        <v>7343790</v>
      </c>
      <c r="N69" s="6" t="s">
        <v>292</v>
      </c>
      <c r="O69" s="1" t="s">
        <v>162</v>
      </c>
      <c r="Q69" s="1">
        <v>1</v>
      </c>
      <c r="R69" s="1">
        <v>0.30249999999999999</v>
      </c>
      <c r="S69" s="10">
        <f t="shared" si="4"/>
        <v>560.73816864000014</v>
      </c>
      <c r="T69" s="10">
        <f t="shared" si="5"/>
        <v>1853.6798963305791</v>
      </c>
    </row>
    <row r="70" spans="1:20" x14ac:dyDescent="0.2">
      <c r="A70">
        <v>54</v>
      </c>
      <c r="B70" t="s">
        <v>105</v>
      </c>
      <c r="C70" t="s">
        <v>71</v>
      </c>
      <c r="D70" t="s">
        <v>123</v>
      </c>
      <c r="H70" t="s">
        <v>20</v>
      </c>
      <c r="I70" s="2">
        <v>2599.2370000000001</v>
      </c>
      <c r="J70" s="4">
        <v>22382972</v>
      </c>
      <c r="K70" s="4">
        <v>55094540</v>
      </c>
      <c r="L70" s="5" t="s">
        <v>293</v>
      </c>
      <c r="M70" s="4">
        <v>4933177</v>
      </c>
      <c r="N70" s="6" t="s">
        <v>294</v>
      </c>
      <c r="O70" s="1" t="s">
        <v>295</v>
      </c>
      <c r="Q70" s="1">
        <v>1</v>
      </c>
      <c r="R70" s="1">
        <v>0.3115</v>
      </c>
      <c r="S70" s="10">
        <f t="shared" si="4"/>
        <v>303.17500368000003</v>
      </c>
      <c r="T70" s="10">
        <f t="shared" si="5"/>
        <v>973.27449014446233</v>
      </c>
    </row>
    <row r="71" spans="1:20" x14ac:dyDescent="0.2">
      <c r="A71">
        <v>55</v>
      </c>
      <c r="B71" t="s">
        <v>106</v>
      </c>
      <c r="C71" t="s">
        <v>57</v>
      </c>
      <c r="D71" t="s">
        <v>123</v>
      </c>
      <c r="H71" t="s">
        <v>20</v>
      </c>
      <c r="I71" s="2">
        <v>2126.848</v>
      </c>
      <c r="J71" s="4">
        <v>23137072</v>
      </c>
      <c r="K71" s="4">
        <v>33735848</v>
      </c>
      <c r="L71" s="5" t="s">
        <v>296</v>
      </c>
      <c r="M71" s="4">
        <v>4959936</v>
      </c>
      <c r="N71" s="6" t="s">
        <v>297</v>
      </c>
      <c r="O71" s="1" t="s">
        <v>162</v>
      </c>
      <c r="Q71" s="1">
        <v>1</v>
      </c>
      <c r="R71" s="1">
        <v>0.31040000000000001</v>
      </c>
      <c r="S71" s="10">
        <f t="shared" si="4"/>
        <v>248.07555072</v>
      </c>
      <c r="T71" s="10">
        <f t="shared" si="5"/>
        <v>799.21247010309276</v>
      </c>
    </row>
    <row r="72" spans="1:20" x14ac:dyDescent="0.2">
      <c r="A72">
        <v>56</v>
      </c>
      <c r="B72" t="s">
        <v>107</v>
      </c>
      <c r="C72" t="s">
        <v>59</v>
      </c>
      <c r="D72" t="s">
        <v>123</v>
      </c>
      <c r="H72" t="s">
        <v>20</v>
      </c>
      <c r="I72" s="2">
        <v>2957.34</v>
      </c>
      <c r="J72" s="4">
        <v>29194036</v>
      </c>
      <c r="K72" s="4">
        <v>32352126</v>
      </c>
      <c r="L72" s="5" t="s">
        <v>298</v>
      </c>
      <c r="M72" s="4">
        <v>6201278</v>
      </c>
      <c r="N72" s="6" t="s">
        <v>299</v>
      </c>
      <c r="O72" s="1" t="s">
        <v>300</v>
      </c>
      <c r="Q72" s="1">
        <v>1</v>
      </c>
      <c r="R72" s="1">
        <v>0.31040000000000001</v>
      </c>
      <c r="S72" s="10">
        <f t="shared" si="4"/>
        <v>344.94413760000009</v>
      </c>
      <c r="T72" s="10">
        <f t="shared" si="5"/>
        <v>1111.2891030927838</v>
      </c>
    </row>
    <row r="73" spans="1:20" x14ac:dyDescent="0.2">
      <c r="A73">
        <v>57</v>
      </c>
      <c r="B73" t="s">
        <v>108</v>
      </c>
      <c r="C73" t="s">
        <v>61</v>
      </c>
      <c r="D73" t="s">
        <v>123</v>
      </c>
      <c r="H73" t="s">
        <v>20</v>
      </c>
      <c r="I73" s="2">
        <v>1808.5550000000001</v>
      </c>
      <c r="J73" s="4">
        <v>18629370</v>
      </c>
      <c r="K73" s="4">
        <v>31298216</v>
      </c>
      <c r="L73" s="5" t="s">
        <v>301</v>
      </c>
      <c r="M73" s="4">
        <v>3976720</v>
      </c>
      <c r="N73" s="6" t="s">
        <v>302</v>
      </c>
      <c r="O73" s="1" t="s">
        <v>303</v>
      </c>
      <c r="Q73" s="1">
        <v>1</v>
      </c>
      <c r="R73" s="1">
        <v>0.30270000000000002</v>
      </c>
      <c r="S73" s="10">
        <f t="shared" si="4"/>
        <v>210.94985520000003</v>
      </c>
      <c r="T73" s="10">
        <f t="shared" si="5"/>
        <v>696.89413676907839</v>
      </c>
    </row>
    <row r="74" spans="1:20" x14ac:dyDescent="0.2">
      <c r="A74">
        <v>58</v>
      </c>
      <c r="B74" t="s">
        <v>109</v>
      </c>
      <c r="C74" t="s">
        <v>63</v>
      </c>
      <c r="D74" t="s">
        <v>123</v>
      </c>
      <c r="H74" t="s">
        <v>20</v>
      </c>
      <c r="I74" s="2">
        <v>2087.4760000000001</v>
      </c>
      <c r="J74" s="4">
        <v>25742294</v>
      </c>
      <c r="K74" s="4">
        <v>38145156</v>
      </c>
      <c r="L74" s="5" t="s">
        <v>304</v>
      </c>
      <c r="M74" s="4">
        <v>5481015</v>
      </c>
      <c r="N74" s="6" t="s">
        <v>305</v>
      </c>
      <c r="O74" s="1" t="s">
        <v>306</v>
      </c>
      <c r="Q74" s="1">
        <v>1</v>
      </c>
      <c r="R74" s="1">
        <v>0.29899999999999999</v>
      </c>
      <c r="S74" s="10">
        <f t="shared" si="4"/>
        <v>243.48320064000001</v>
      </c>
      <c r="T74" s="10">
        <f t="shared" si="5"/>
        <v>814.32508575250847</v>
      </c>
    </row>
    <row r="75" spans="1:20" x14ac:dyDescent="0.2">
      <c r="A75">
        <v>59</v>
      </c>
      <c r="B75" t="s">
        <v>110</v>
      </c>
      <c r="C75" t="s">
        <v>49</v>
      </c>
      <c r="D75" t="s">
        <v>123</v>
      </c>
      <c r="H75" t="s">
        <v>20</v>
      </c>
      <c r="I75" s="2">
        <v>420.21600000000001</v>
      </c>
      <c r="J75" s="4">
        <v>5744002</v>
      </c>
      <c r="K75" s="4">
        <v>38123724</v>
      </c>
      <c r="L75" s="5" t="s">
        <v>307</v>
      </c>
      <c r="M75" s="4">
        <v>1346039</v>
      </c>
      <c r="N75" s="6" t="s">
        <v>308</v>
      </c>
      <c r="O75" s="1" t="s">
        <v>309</v>
      </c>
      <c r="Q75" s="1">
        <v>1</v>
      </c>
      <c r="R75" s="1">
        <v>0.2994</v>
      </c>
      <c r="S75" s="10">
        <f t="shared" si="4"/>
        <v>49.013994240000009</v>
      </c>
      <c r="T75" s="10">
        <f t="shared" si="5"/>
        <v>163.7073955911824</v>
      </c>
    </row>
    <row r="76" spans="1:20" x14ac:dyDescent="0.2">
      <c r="A76">
        <v>60</v>
      </c>
      <c r="B76" t="s">
        <v>111</v>
      </c>
      <c r="C76" t="s">
        <v>51</v>
      </c>
      <c r="D76" t="s">
        <v>123</v>
      </c>
      <c r="H76" t="s">
        <v>20</v>
      </c>
      <c r="I76" s="2">
        <v>375.33600000000001</v>
      </c>
      <c r="J76" s="4">
        <v>5273342</v>
      </c>
      <c r="K76" s="4">
        <v>39074100</v>
      </c>
      <c r="L76" s="5" t="s">
        <v>310</v>
      </c>
      <c r="M76" s="4">
        <v>1246553</v>
      </c>
      <c r="N76" s="6" t="s">
        <v>311</v>
      </c>
      <c r="O76" s="1" t="s">
        <v>135</v>
      </c>
      <c r="Q76" s="1">
        <v>1</v>
      </c>
      <c r="R76" s="1">
        <v>0.29409999999999997</v>
      </c>
      <c r="S76" s="10">
        <f t="shared" si="4"/>
        <v>43.779191040000008</v>
      </c>
      <c r="T76" s="10">
        <f t="shared" si="5"/>
        <v>148.85818102686164</v>
      </c>
    </row>
    <row r="77" spans="1:20" x14ac:dyDescent="0.2">
      <c r="A77">
        <v>61</v>
      </c>
      <c r="B77" t="s">
        <v>112</v>
      </c>
      <c r="C77" t="s">
        <v>53</v>
      </c>
      <c r="D77" t="s">
        <v>123</v>
      </c>
      <c r="H77" t="s">
        <v>20</v>
      </c>
      <c r="I77" s="2">
        <v>851.80399999999997</v>
      </c>
      <c r="J77" s="4">
        <v>11194723</v>
      </c>
      <c r="K77" s="4">
        <v>37634176</v>
      </c>
      <c r="L77" s="5" t="s">
        <v>312</v>
      </c>
      <c r="M77" s="4">
        <v>2462111</v>
      </c>
      <c r="N77" s="6" t="s">
        <v>313</v>
      </c>
      <c r="O77" s="1" t="s">
        <v>190</v>
      </c>
      <c r="Q77" s="1">
        <v>1</v>
      </c>
      <c r="R77" s="1">
        <v>0.30640000000000001</v>
      </c>
      <c r="S77" s="10">
        <f t="shared" si="4"/>
        <v>99.354418560000013</v>
      </c>
      <c r="T77" s="10">
        <f t="shared" si="5"/>
        <v>324.26376814621415</v>
      </c>
    </row>
    <row r="78" spans="1:20" x14ac:dyDescent="0.2">
      <c r="A78">
        <v>62</v>
      </c>
      <c r="B78" t="s">
        <v>113</v>
      </c>
      <c r="C78" t="s">
        <v>55</v>
      </c>
      <c r="D78" t="s">
        <v>123</v>
      </c>
      <c r="H78" t="s">
        <v>20</v>
      </c>
      <c r="I78" s="2">
        <v>1258.4580000000001</v>
      </c>
      <c r="J78" s="4">
        <v>14074702</v>
      </c>
      <c r="K78" s="4">
        <v>32832794</v>
      </c>
      <c r="L78" s="5" t="s">
        <v>314</v>
      </c>
      <c r="M78" s="4">
        <v>3074526</v>
      </c>
      <c r="N78" s="6" t="s">
        <v>315</v>
      </c>
      <c r="O78" s="1" t="s">
        <v>316</v>
      </c>
      <c r="Q78" s="1">
        <v>1</v>
      </c>
      <c r="R78" s="1">
        <v>0.29499999999999998</v>
      </c>
      <c r="S78" s="10">
        <f t="shared" si="4"/>
        <v>146.78654112000001</v>
      </c>
      <c r="T78" s="10">
        <f t="shared" si="5"/>
        <v>497.58149532203396</v>
      </c>
    </row>
    <row r="79" spans="1:20" x14ac:dyDescent="0.2">
      <c r="A79">
        <v>63</v>
      </c>
      <c r="B79" t="s">
        <v>114</v>
      </c>
      <c r="D79" t="s">
        <v>123</v>
      </c>
      <c r="H79" t="s">
        <v>20</v>
      </c>
      <c r="J79" s="4">
        <v>17653</v>
      </c>
      <c r="K79" s="4">
        <v>26150</v>
      </c>
      <c r="M79" s="4">
        <v>4032</v>
      </c>
      <c r="N79" s="6" t="s">
        <v>317</v>
      </c>
      <c r="O79" s="1" t="s">
        <v>318</v>
      </c>
    </row>
    <row r="80" spans="1:20" x14ac:dyDescent="0.2">
      <c r="A80">
        <v>64</v>
      </c>
      <c r="B80" t="s">
        <v>115</v>
      </c>
      <c r="D80" t="s">
        <v>123</v>
      </c>
      <c r="H80" t="s">
        <v>20</v>
      </c>
      <c r="J80" s="4">
        <v>11407</v>
      </c>
      <c r="K80" s="4">
        <v>10375</v>
      </c>
      <c r="M80" s="4">
        <v>2452</v>
      </c>
      <c r="N80" s="6" t="s">
        <v>319</v>
      </c>
      <c r="O80" s="1" t="s">
        <v>320</v>
      </c>
    </row>
    <row r="81" spans="1:15" x14ac:dyDescent="0.2">
      <c r="A81">
        <v>65</v>
      </c>
      <c r="B81" t="s">
        <v>116</v>
      </c>
      <c r="D81" t="s">
        <v>123</v>
      </c>
      <c r="H81" t="s">
        <v>20</v>
      </c>
      <c r="J81" s="4">
        <v>11026</v>
      </c>
      <c r="K81" s="4">
        <v>9256</v>
      </c>
      <c r="M81" s="4">
        <v>2454</v>
      </c>
      <c r="N81" s="6" t="s">
        <v>321</v>
      </c>
      <c r="O81" s="1" t="s">
        <v>322</v>
      </c>
    </row>
    <row r="82" spans="1:15" x14ac:dyDescent="0.2">
      <c r="A82">
        <v>66</v>
      </c>
      <c r="B82" t="s">
        <v>117</v>
      </c>
      <c r="D82" t="s">
        <v>123</v>
      </c>
      <c r="H82" t="s">
        <v>20</v>
      </c>
      <c r="J82" s="4">
        <v>9415</v>
      </c>
      <c r="K82" s="4">
        <v>6609</v>
      </c>
      <c r="M82" s="4">
        <v>2318</v>
      </c>
      <c r="N82" s="6" t="s">
        <v>323</v>
      </c>
      <c r="O82" s="1" t="s">
        <v>324</v>
      </c>
    </row>
    <row r="84" spans="1:15" x14ac:dyDescent="0.2">
      <c r="A84" t="s">
        <v>118</v>
      </c>
    </row>
    <row r="86" spans="1:15" x14ac:dyDescent="0.2">
      <c r="B86" t="s">
        <v>3</v>
      </c>
      <c r="C86" t="s">
        <v>4</v>
      </c>
      <c r="D86" t="s">
        <v>5</v>
      </c>
      <c r="E86" t="s">
        <v>6</v>
      </c>
      <c r="F86" t="s">
        <v>122</v>
      </c>
      <c r="G86" s="1" t="s">
        <v>7</v>
      </c>
      <c r="H86" t="s">
        <v>8</v>
      </c>
      <c r="I86" s="2" t="s">
        <v>9</v>
      </c>
      <c r="J86" s="4" t="s">
        <v>10</v>
      </c>
      <c r="K86" s="4" t="s">
        <v>11</v>
      </c>
      <c r="L86" s="5" t="s">
        <v>12</v>
      </c>
      <c r="M86" s="4" t="s">
        <v>13</v>
      </c>
      <c r="N86" s="6" t="s">
        <v>14</v>
      </c>
      <c r="O86" s="1" t="s">
        <v>15</v>
      </c>
    </row>
    <row r="87" spans="1:15" x14ac:dyDescent="0.2">
      <c r="A87">
        <v>1</v>
      </c>
      <c r="B87" t="s">
        <v>16</v>
      </c>
      <c r="D87" t="s">
        <v>325</v>
      </c>
      <c r="E87" t="s">
        <v>17</v>
      </c>
      <c r="F87" t="s">
        <v>326</v>
      </c>
      <c r="G87" s="1">
        <v>7.7</v>
      </c>
      <c r="H87" t="s">
        <v>20</v>
      </c>
      <c r="I87" s="2">
        <v>195.631</v>
      </c>
      <c r="J87" s="4">
        <v>3962877</v>
      </c>
      <c r="L87" s="5" t="s">
        <v>327</v>
      </c>
      <c r="N87" s="6" t="s">
        <v>328</v>
      </c>
    </row>
    <row r="88" spans="1:15" x14ac:dyDescent="0.2">
      <c r="A88">
        <v>2</v>
      </c>
      <c r="B88" t="s">
        <v>19</v>
      </c>
      <c r="D88" t="s">
        <v>325</v>
      </c>
      <c r="E88" t="s">
        <v>17</v>
      </c>
      <c r="F88" t="s">
        <v>326</v>
      </c>
      <c r="G88" s="1">
        <v>7.7</v>
      </c>
      <c r="H88" t="s">
        <v>20</v>
      </c>
      <c r="I88" s="2">
        <v>195.71100000000001</v>
      </c>
      <c r="J88" s="4">
        <v>3964507</v>
      </c>
      <c r="L88" s="5" t="s">
        <v>329</v>
      </c>
      <c r="N88" s="6" t="s">
        <v>330</v>
      </c>
    </row>
    <row r="89" spans="1:15" x14ac:dyDescent="0.2">
      <c r="A89">
        <v>3</v>
      </c>
      <c r="B89" t="s">
        <v>21</v>
      </c>
      <c r="D89" t="s">
        <v>325</v>
      </c>
      <c r="E89" t="s">
        <v>17</v>
      </c>
      <c r="F89" t="s">
        <v>326</v>
      </c>
      <c r="G89" s="1">
        <v>3.1</v>
      </c>
      <c r="H89" t="s">
        <v>20</v>
      </c>
      <c r="I89" s="2">
        <v>187.26499999999999</v>
      </c>
      <c r="J89" s="4">
        <v>3793412</v>
      </c>
      <c r="L89" s="5" t="s">
        <v>331</v>
      </c>
      <c r="N89" s="6" t="s">
        <v>332</v>
      </c>
    </row>
    <row r="90" spans="1:15" x14ac:dyDescent="0.2">
      <c r="A90">
        <v>4</v>
      </c>
      <c r="B90" t="s">
        <v>22</v>
      </c>
      <c r="D90" t="s">
        <v>325</v>
      </c>
      <c r="E90" t="s">
        <v>17</v>
      </c>
      <c r="F90" t="s">
        <v>326</v>
      </c>
      <c r="G90" s="1">
        <v>1.8</v>
      </c>
      <c r="H90" t="s">
        <v>20</v>
      </c>
      <c r="I90" s="2">
        <v>185.01</v>
      </c>
      <c r="J90" s="4">
        <v>3747721</v>
      </c>
      <c r="L90" s="5" t="s">
        <v>333</v>
      </c>
      <c r="N90" s="6" t="s">
        <v>334</v>
      </c>
    </row>
    <row r="91" spans="1:15" x14ac:dyDescent="0.2">
      <c r="A91">
        <v>5</v>
      </c>
      <c r="B91" t="s">
        <v>23</v>
      </c>
      <c r="D91" t="s">
        <v>325</v>
      </c>
      <c r="E91" t="s">
        <v>17</v>
      </c>
      <c r="F91" t="s">
        <v>326</v>
      </c>
      <c r="G91" s="1">
        <v>0.6</v>
      </c>
      <c r="H91" t="s">
        <v>20</v>
      </c>
      <c r="I91" s="2">
        <v>182.75700000000001</v>
      </c>
      <c r="J91" s="4">
        <v>3702092</v>
      </c>
      <c r="L91" s="5" t="s">
        <v>335</v>
      </c>
      <c r="N91" s="6" t="s">
        <v>336</v>
      </c>
    </row>
    <row r="92" spans="1:15" x14ac:dyDescent="0.2">
      <c r="A92">
        <v>6</v>
      </c>
      <c r="B92" t="s">
        <v>24</v>
      </c>
      <c r="D92" t="s">
        <v>325</v>
      </c>
      <c r="E92" t="s">
        <v>17</v>
      </c>
      <c r="F92" t="s">
        <v>326</v>
      </c>
      <c r="G92" s="1">
        <v>0.3</v>
      </c>
      <c r="H92" t="s">
        <v>20</v>
      </c>
      <c r="I92" s="2">
        <v>182.19200000000001</v>
      </c>
      <c r="J92" s="4">
        <v>3690652</v>
      </c>
      <c r="L92" s="5" t="s">
        <v>337</v>
      </c>
      <c r="N92" s="6" t="s">
        <v>338</v>
      </c>
    </row>
    <row r="93" spans="1:15" x14ac:dyDescent="0.2">
      <c r="A93">
        <v>7</v>
      </c>
      <c r="B93" t="s">
        <v>25</v>
      </c>
      <c r="D93" t="s">
        <v>325</v>
      </c>
      <c r="E93" t="s">
        <v>17</v>
      </c>
      <c r="F93" t="s">
        <v>326</v>
      </c>
      <c r="G93" s="1">
        <v>2.5</v>
      </c>
      <c r="H93" t="s">
        <v>20</v>
      </c>
      <c r="I93" s="2">
        <v>186.155</v>
      </c>
      <c r="J93" s="4">
        <v>3770916</v>
      </c>
      <c r="L93" s="5" t="s">
        <v>339</v>
      </c>
      <c r="N93" s="6" t="s">
        <v>340</v>
      </c>
    </row>
    <row r="94" spans="1:15" x14ac:dyDescent="0.2">
      <c r="A94">
        <v>8</v>
      </c>
      <c r="B94" t="s">
        <v>26</v>
      </c>
      <c r="D94" t="s">
        <v>325</v>
      </c>
      <c r="E94" t="s">
        <v>17</v>
      </c>
      <c r="F94" t="s">
        <v>326</v>
      </c>
      <c r="G94" s="1">
        <v>2.9</v>
      </c>
      <c r="H94" t="s">
        <v>20</v>
      </c>
      <c r="I94" s="2">
        <v>187.01</v>
      </c>
      <c r="J94" s="4">
        <v>3788245</v>
      </c>
      <c r="L94" s="5" t="s">
        <v>341</v>
      </c>
      <c r="N94" s="6" t="s">
        <v>342</v>
      </c>
    </row>
    <row r="95" spans="1:15" x14ac:dyDescent="0.2">
      <c r="A95">
        <v>9</v>
      </c>
      <c r="B95" t="s">
        <v>27</v>
      </c>
      <c r="D95" t="s">
        <v>325</v>
      </c>
      <c r="E95" t="s">
        <v>17</v>
      </c>
      <c r="F95" t="s">
        <v>326</v>
      </c>
      <c r="G95" s="1">
        <v>0.1</v>
      </c>
      <c r="H95" t="s">
        <v>20</v>
      </c>
      <c r="I95" s="2">
        <v>181.881</v>
      </c>
      <c r="J95" s="4">
        <v>3684350</v>
      </c>
      <c r="L95" s="5" t="s">
        <v>343</v>
      </c>
      <c r="N95" s="6" t="s">
        <v>344</v>
      </c>
    </row>
    <row r="96" spans="1:15" x14ac:dyDescent="0.2">
      <c r="A96">
        <v>10</v>
      </c>
      <c r="B96" t="s">
        <v>28</v>
      </c>
      <c r="D96" t="s">
        <v>325</v>
      </c>
      <c r="E96" t="s">
        <v>17</v>
      </c>
      <c r="F96" t="s">
        <v>326</v>
      </c>
      <c r="G96" s="1">
        <v>-8.3000000000000007</v>
      </c>
      <c r="H96" t="s">
        <v>20</v>
      </c>
      <c r="I96" s="2">
        <v>166.642</v>
      </c>
      <c r="J96" s="4">
        <v>3375659</v>
      </c>
      <c r="L96" s="5" t="s">
        <v>345</v>
      </c>
      <c r="N96" s="6" t="s">
        <v>346</v>
      </c>
    </row>
    <row r="97" spans="1:20" x14ac:dyDescent="0.2">
      <c r="A97">
        <v>11</v>
      </c>
      <c r="B97" t="s">
        <v>29</v>
      </c>
      <c r="D97" t="s">
        <v>325</v>
      </c>
      <c r="E97" t="s">
        <v>17</v>
      </c>
      <c r="F97" t="s">
        <v>326</v>
      </c>
      <c r="G97" s="1">
        <v>-13</v>
      </c>
      <c r="H97" t="s">
        <v>20</v>
      </c>
      <c r="I97" s="2">
        <v>158.066</v>
      </c>
      <c r="J97" s="4">
        <v>3201933</v>
      </c>
      <c r="L97" s="5" t="s">
        <v>347</v>
      </c>
      <c r="N97" s="6" t="s">
        <v>348</v>
      </c>
    </row>
    <row r="98" spans="1:20" x14ac:dyDescent="0.2">
      <c r="A98">
        <v>67</v>
      </c>
      <c r="B98" t="s">
        <v>30</v>
      </c>
      <c r="D98" t="s">
        <v>325</v>
      </c>
      <c r="E98" t="s">
        <v>17</v>
      </c>
      <c r="F98" t="s">
        <v>326</v>
      </c>
      <c r="G98" s="1">
        <v>-4.0999999999999996</v>
      </c>
      <c r="H98" t="s">
        <v>20</v>
      </c>
      <c r="I98" s="2">
        <v>174.17</v>
      </c>
      <c r="J98" s="4">
        <v>3528144</v>
      </c>
      <c r="L98" s="5" t="s">
        <v>349</v>
      </c>
      <c r="N98" s="6" t="s">
        <v>350</v>
      </c>
    </row>
    <row r="99" spans="1:20" x14ac:dyDescent="0.2">
      <c r="A99">
        <v>68</v>
      </c>
      <c r="B99" t="s">
        <v>31</v>
      </c>
      <c r="D99" t="s">
        <v>325</v>
      </c>
      <c r="E99" t="s">
        <v>17</v>
      </c>
      <c r="F99" t="s">
        <v>326</v>
      </c>
      <c r="G99" s="1">
        <v>2.9</v>
      </c>
      <c r="H99" t="s">
        <v>20</v>
      </c>
      <c r="I99" s="2">
        <v>186.96600000000001</v>
      </c>
      <c r="J99" s="4">
        <v>3787349</v>
      </c>
      <c r="L99" s="5" t="s">
        <v>351</v>
      </c>
      <c r="N99" s="6" t="s">
        <v>352</v>
      </c>
    </row>
    <row r="100" spans="1:20" x14ac:dyDescent="0.2">
      <c r="A100">
        <v>69</v>
      </c>
      <c r="B100" t="s">
        <v>32</v>
      </c>
      <c r="D100" t="s">
        <v>325</v>
      </c>
      <c r="E100" t="s">
        <v>17</v>
      </c>
      <c r="F100" t="s">
        <v>326</v>
      </c>
      <c r="G100" s="1">
        <v>2.1</v>
      </c>
      <c r="H100" t="s">
        <v>20</v>
      </c>
      <c r="I100" s="2">
        <v>185.41800000000001</v>
      </c>
      <c r="J100" s="4">
        <v>3755986</v>
      </c>
      <c r="L100" s="5" t="s">
        <v>353</v>
      </c>
      <c r="N100" s="6" t="s">
        <v>354</v>
      </c>
    </row>
    <row r="101" spans="1:20" x14ac:dyDescent="0.2">
      <c r="A101">
        <v>70</v>
      </c>
      <c r="B101" t="s">
        <v>33</v>
      </c>
      <c r="D101" t="s">
        <v>325</v>
      </c>
      <c r="E101" t="s">
        <v>17</v>
      </c>
      <c r="F101" t="s">
        <v>326</v>
      </c>
      <c r="G101" s="1">
        <v>5.9</v>
      </c>
      <c r="H101" t="s">
        <v>20</v>
      </c>
      <c r="I101" s="2">
        <v>192.29300000000001</v>
      </c>
      <c r="J101" s="4">
        <v>3895255</v>
      </c>
      <c r="L101" s="5" t="s">
        <v>355</v>
      </c>
      <c r="N101" s="6" t="s">
        <v>356</v>
      </c>
    </row>
    <row r="102" spans="1:20" x14ac:dyDescent="0.2">
      <c r="A102">
        <v>71</v>
      </c>
      <c r="B102" t="s">
        <v>34</v>
      </c>
      <c r="D102" t="s">
        <v>325</v>
      </c>
      <c r="E102" t="s">
        <v>17</v>
      </c>
      <c r="F102" t="s">
        <v>326</v>
      </c>
      <c r="G102" s="1">
        <v>5.7</v>
      </c>
      <c r="H102" t="s">
        <v>20</v>
      </c>
      <c r="I102" s="2">
        <v>192.06899999999999</v>
      </c>
      <c r="J102" s="4">
        <v>3890723</v>
      </c>
      <c r="L102" s="5" t="s">
        <v>357</v>
      </c>
      <c r="N102" s="6" t="s">
        <v>358</v>
      </c>
    </row>
    <row r="103" spans="1:20" x14ac:dyDescent="0.2">
      <c r="A103">
        <v>72</v>
      </c>
      <c r="B103" t="s">
        <v>35</v>
      </c>
      <c r="D103" t="s">
        <v>325</v>
      </c>
      <c r="E103" t="s">
        <v>17</v>
      </c>
      <c r="F103" t="s">
        <v>326</v>
      </c>
      <c r="G103" s="1">
        <v>5.3</v>
      </c>
      <c r="H103" t="s">
        <v>20</v>
      </c>
      <c r="I103" s="2">
        <v>191.37299999999999</v>
      </c>
      <c r="J103" s="4">
        <v>3876625</v>
      </c>
      <c r="L103" s="5" t="s">
        <v>359</v>
      </c>
      <c r="N103" s="6" t="s">
        <v>360</v>
      </c>
    </row>
    <row r="104" spans="1:20" x14ac:dyDescent="0.2">
      <c r="A104">
        <v>73</v>
      </c>
      <c r="B104" t="s">
        <v>36</v>
      </c>
      <c r="D104" t="s">
        <v>325</v>
      </c>
      <c r="E104" t="s">
        <v>17</v>
      </c>
      <c r="F104" t="s">
        <v>326</v>
      </c>
      <c r="G104" s="1">
        <v>2.2000000000000002</v>
      </c>
      <c r="H104" t="s">
        <v>20</v>
      </c>
      <c r="I104" s="2">
        <v>185.63499999999999</v>
      </c>
      <c r="J104" s="4">
        <v>3760399</v>
      </c>
      <c r="L104" s="5" t="s">
        <v>361</v>
      </c>
      <c r="N104" s="6" t="s">
        <v>362</v>
      </c>
    </row>
    <row r="105" spans="1:20" x14ac:dyDescent="0.2">
      <c r="A105">
        <v>74</v>
      </c>
      <c r="B105" t="s">
        <v>37</v>
      </c>
      <c r="D105" t="s">
        <v>325</v>
      </c>
      <c r="E105" t="s">
        <v>17</v>
      </c>
      <c r="F105" t="s">
        <v>326</v>
      </c>
      <c r="G105" s="1">
        <v>-8.6999999999999993</v>
      </c>
      <c r="H105" t="s">
        <v>20</v>
      </c>
      <c r="I105" s="2">
        <v>165.84700000000001</v>
      </c>
      <c r="J105" s="4">
        <v>3359546</v>
      </c>
      <c r="L105" s="5" t="s">
        <v>363</v>
      </c>
      <c r="N105" s="6" t="s">
        <v>364</v>
      </c>
    </row>
    <row r="106" spans="1:20" x14ac:dyDescent="0.2">
      <c r="A106">
        <v>75</v>
      </c>
      <c r="B106" t="s">
        <v>38</v>
      </c>
      <c r="D106" t="s">
        <v>325</v>
      </c>
      <c r="E106" t="s">
        <v>17</v>
      </c>
      <c r="F106" t="s">
        <v>326</v>
      </c>
      <c r="G106" s="1">
        <v>-16.8</v>
      </c>
      <c r="H106" t="s">
        <v>20</v>
      </c>
      <c r="I106" s="2">
        <v>151.108</v>
      </c>
      <c r="J106" s="4">
        <v>3060984</v>
      </c>
      <c r="L106" s="5" t="s">
        <v>365</v>
      </c>
      <c r="N106" s="6" t="s">
        <v>366</v>
      </c>
    </row>
    <row r="107" spans="1:20" x14ac:dyDescent="0.2">
      <c r="A107">
        <v>12</v>
      </c>
      <c r="B107" t="s">
        <v>39</v>
      </c>
      <c r="D107" t="s">
        <v>367</v>
      </c>
      <c r="H107" t="s">
        <v>20</v>
      </c>
      <c r="I107" s="2">
        <v>8.6999999999999994E-2</v>
      </c>
      <c r="J107" s="4">
        <v>1766</v>
      </c>
      <c r="L107" s="5" t="s">
        <v>368</v>
      </c>
      <c r="N107" s="6" t="s">
        <v>369</v>
      </c>
    </row>
    <row r="108" spans="1:20" x14ac:dyDescent="0.2">
      <c r="A108">
        <v>13</v>
      </c>
      <c r="B108" t="s">
        <v>40</v>
      </c>
      <c r="D108" t="s">
        <v>367</v>
      </c>
      <c r="H108" t="s">
        <v>119</v>
      </c>
      <c r="I108" s="2">
        <v>0.03</v>
      </c>
      <c r="J108" s="4">
        <v>601</v>
      </c>
      <c r="L108" s="5" t="s">
        <v>370</v>
      </c>
      <c r="N108" s="6" t="s">
        <v>371</v>
      </c>
    </row>
    <row r="109" spans="1:20" x14ac:dyDescent="0.2">
      <c r="A109">
        <v>14</v>
      </c>
      <c r="B109" t="s">
        <v>41</v>
      </c>
      <c r="D109" t="s">
        <v>325</v>
      </c>
      <c r="H109" t="s">
        <v>119</v>
      </c>
      <c r="I109" s="2">
        <v>2.7E-2</v>
      </c>
      <c r="J109" s="4">
        <v>543</v>
      </c>
      <c r="L109" s="5" t="s">
        <v>372</v>
      </c>
      <c r="N109" s="6" t="s">
        <v>373</v>
      </c>
    </row>
    <row r="110" spans="1:20" x14ac:dyDescent="0.2">
      <c r="A110">
        <v>15</v>
      </c>
      <c r="B110" t="s">
        <v>42</v>
      </c>
      <c r="D110" t="s">
        <v>325</v>
      </c>
      <c r="H110" t="s">
        <v>119</v>
      </c>
      <c r="I110" s="2">
        <v>1.9E-2</v>
      </c>
      <c r="J110" s="4">
        <v>387</v>
      </c>
      <c r="L110" s="5" t="s">
        <v>374</v>
      </c>
      <c r="N110" s="6" t="s">
        <v>375</v>
      </c>
      <c r="Q110" s="1" t="s">
        <v>794</v>
      </c>
      <c r="R110" s="1" t="s">
        <v>798</v>
      </c>
      <c r="S110" s="9" t="s">
        <v>799</v>
      </c>
      <c r="T110" s="8" t="s">
        <v>800</v>
      </c>
    </row>
    <row r="111" spans="1:20" x14ac:dyDescent="0.2">
      <c r="A111">
        <v>16</v>
      </c>
      <c r="B111" t="s">
        <v>43</v>
      </c>
      <c r="D111" t="s">
        <v>325</v>
      </c>
      <c r="H111" t="s">
        <v>20</v>
      </c>
      <c r="I111" s="2">
        <v>252.64500000000001</v>
      </c>
      <c r="J111" s="4">
        <v>5117799</v>
      </c>
      <c r="L111" s="5" t="s">
        <v>376</v>
      </c>
      <c r="N111" s="6" t="s">
        <v>377</v>
      </c>
      <c r="Q111" s="1">
        <v>60000</v>
      </c>
      <c r="R111" s="4">
        <f>I111*Q111/1000</f>
        <v>15158.7</v>
      </c>
      <c r="S111" s="4">
        <v>14126</v>
      </c>
      <c r="T111" s="13">
        <f>R111*100/S111</f>
        <v>107.31063287554863</v>
      </c>
    </row>
    <row r="112" spans="1:20" x14ac:dyDescent="0.2">
      <c r="A112">
        <v>17</v>
      </c>
      <c r="B112" t="s">
        <v>44</v>
      </c>
      <c r="C112" t="s">
        <v>45</v>
      </c>
      <c r="D112" t="s">
        <v>325</v>
      </c>
      <c r="F112" t="s">
        <v>378</v>
      </c>
      <c r="G112" s="1">
        <v>-1.7</v>
      </c>
      <c r="H112" t="s">
        <v>20</v>
      </c>
      <c r="I112" s="2">
        <v>178.45500000000001</v>
      </c>
      <c r="J112" s="4">
        <v>3614948</v>
      </c>
      <c r="L112" s="5" t="s">
        <v>379</v>
      </c>
      <c r="N112" s="6" t="s">
        <v>380</v>
      </c>
      <c r="Q112" s="1"/>
      <c r="R112" s="1"/>
      <c r="S112" s="9"/>
      <c r="T112" s="11">
        <f>100+G112</f>
        <v>98.3</v>
      </c>
    </row>
    <row r="113" spans="1:20" x14ac:dyDescent="0.2">
      <c r="A113">
        <v>18</v>
      </c>
      <c r="B113" t="s">
        <v>46</v>
      </c>
      <c r="C113" t="s">
        <v>47</v>
      </c>
      <c r="D113" t="s">
        <v>325</v>
      </c>
      <c r="F113" t="s">
        <v>378</v>
      </c>
      <c r="G113" s="1">
        <v>-0.5</v>
      </c>
      <c r="H113" t="s">
        <v>20</v>
      </c>
      <c r="I113" s="2">
        <v>180.624</v>
      </c>
      <c r="J113" s="4">
        <v>3658883</v>
      </c>
      <c r="L113" s="5" t="s">
        <v>381</v>
      </c>
      <c r="N113" s="6" t="s">
        <v>382</v>
      </c>
      <c r="T113" s="11">
        <f t="shared" ref="T113:T157" si="6">100+G113</f>
        <v>99.5</v>
      </c>
    </row>
    <row r="114" spans="1:20" x14ac:dyDescent="0.2">
      <c r="A114">
        <v>19</v>
      </c>
      <c r="B114" t="s">
        <v>48</v>
      </c>
      <c r="C114" t="s">
        <v>49</v>
      </c>
      <c r="D114" t="s">
        <v>325</v>
      </c>
      <c r="F114" t="s">
        <v>378</v>
      </c>
      <c r="G114" s="1">
        <v>2.2000000000000002</v>
      </c>
      <c r="H114" t="s">
        <v>20</v>
      </c>
      <c r="I114" s="2">
        <v>185.70099999999999</v>
      </c>
      <c r="J114" s="4">
        <v>3761736</v>
      </c>
      <c r="L114" s="5" t="s">
        <v>383</v>
      </c>
      <c r="N114" s="6" t="s">
        <v>384</v>
      </c>
      <c r="T114" s="11">
        <f t="shared" si="6"/>
        <v>102.2</v>
      </c>
    </row>
    <row r="115" spans="1:20" x14ac:dyDescent="0.2">
      <c r="A115">
        <v>20</v>
      </c>
      <c r="B115" t="s">
        <v>50</v>
      </c>
      <c r="C115" t="s">
        <v>51</v>
      </c>
      <c r="D115" t="s">
        <v>325</v>
      </c>
      <c r="F115" t="s">
        <v>378</v>
      </c>
      <c r="G115" s="1">
        <v>4.2</v>
      </c>
      <c r="H115" t="s">
        <v>20</v>
      </c>
      <c r="I115" s="2">
        <v>189.24</v>
      </c>
      <c r="J115" s="4">
        <v>3833422</v>
      </c>
      <c r="L115" s="5" t="s">
        <v>385</v>
      </c>
      <c r="N115" s="6" t="s">
        <v>386</v>
      </c>
      <c r="T115" s="11">
        <f t="shared" si="6"/>
        <v>104.2</v>
      </c>
    </row>
    <row r="116" spans="1:20" x14ac:dyDescent="0.2">
      <c r="A116">
        <v>21</v>
      </c>
      <c r="B116" t="s">
        <v>52</v>
      </c>
      <c r="C116" t="s">
        <v>53</v>
      </c>
      <c r="D116" t="s">
        <v>325</v>
      </c>
      <c r="F116" t="s">
        <v>378</v>
      </c>
      <c r="G116" s="1">
        <v>9.1</v>
      </c>
      <c r="H116" t="s">
        <v>20</v>
      </c>
      <c r="I116" s="2">
        <v>198.11600000000001</v>
      </c>
      <c r="J116" s="4">
        <v>4013217</v>
      </c>
      <c r="L116" s="5" t="s">
        <v>387</v>
      </c>
      <c r="N116" s="6" t="s">
        <v>388</v>
      </c>
      <c r="T116" s="11">
        <f t="shared" si="6"/>
        <v>109.1</v>
      </c>
    </row>
    <row r="117" spans="1:20" x14ac:dyDescent="0.2">
      <c r="A117">
        <v>22</v>
      </c>
      <c r="B117" t="s">
        <v>54</v>
      </c>
      <c r="C117" t="s">
        <v>55</v>
      </c>
      <c r="D117" t="s">
        <v>325</v>
      </c>
      <c r="F117" t="s">
        <v>378</v>
      </c>
      <c r="G117" s="1">
        <v>10.9</v>
      </c>
      <c r="H117" t="s">
        <v>20</v>
      </c>
      <c r="I117" s="2">
        <v>201.471</v>
      </c>
      <c r="J117" s="4">
        <v>4081180</v>
      </c>
      <c r="L117" s="5" t="s">
        <v>389</v>
      </c>
      <c r="N117" s="6" t="s">
        <v>390</v>
      </c>
      <c r="T117" s="11">
        <f t="shared" si="6"/>
        <v>110.9</v>
      </c>
    </row>
    <row r="118" spans="1:20" x14ac:dyDescent="0.2">
      <c r="A118">
        <v>23</v>
      </c>
      <c r="B118" t="s">
        <v>56</v>
      </c>
      <c r="C118" t="s">
        <v>57</v>
      </c>
      <c r="D118" t="s">
        <v>325</v>
      </c>
      <c r="F118" t="s">
        <v>378</v>
      </c>
      <c r="G118" s="1">
        <v>6</v>
      </c>
      <c r="H118" t="s">
        <v>20</v>
      </c>
      <c r="I118" s="2">
        <v>192.52600000000001</v>
      </c>
      <c r="J118" s="4">
        <v>3899976</v>
      </c>
      <c r="L118" s="5" t="s">
        <v>391</v>
      </c>
      <c r="N118" s="6" t="s">
        <v>392</v>
      </c>
      <c r="T118" s="11">
        <f t="shared" si="6"/>
        <v>106</v>
      </c>
    </row>
    <row r="119" spans="1:20" x14ac:dyDescent="0.2">
      <c r="A119">
        <v>24</v>
      </c>
      <c r="B119" t="s">
        <v>58</v>
      </c>
      <c r="C119" t="s">
        <v>59</v>
      </c>
      <c r="D119" t="s">
        <v>325</v>
      </c>
      <c r="F119" t="s">
        <v>378</v>
      </c>
      <c r="G119" s="1">
        <v>-0.2</v>
      </c>
      <c r="H119" t="s">
        <v>20</v>
      </c>
      <c r="I119" s="2">
        <v>181.18</v>
      </c>
      <c r="J119" s="4">
        <v>3670140</v>
      </c>
      <c r="L119" s="5" t="s">
        <v>393</v>
      </c>
      <c r="N119" s="6" t="s">
        <v>394</v>
      </c>
      <c r="T119" s="11">
        <f t="shared" si="6"/>
        <v>99.8</v>
      </c>
    </row>
    <row r="120" spans="1:20" x14ac:dyDescent="0.2">
      <c r="A120">
        <v>25</v>
      </c>
      <c r="B120" t="s">
        <v>60</v>
      </c>
      <c r="C120" t="s">
        <v>61</v>
      </c>
      <c r="D120" t="s">
        <v>325</v>
      </c>
      <c r="F120" t="s">
        <v>378</v>
      </c>
      <c r="G120" s="1">
        <v>4.5999999999999996</v>
      </c>
      <c r="H120" t="s">
        <v>20</v>
      </c>
      <c r="I120" s="2">
        <v>190.00800000000001</v>
      </c>
      <c r="J120" s="4">
        <v>3848983</v>
      </c>
      <c r="L120" s="5" t="s">
        <v>395</v>
      </c>
      <c r="N120" s="6" t="s">
        <v>396</v>
      </c>
      <c r="T120" s="11">
        <f t="shared" si="6"/>
        <v>104.6</v>
      </c>
    </row>
    <row r="121" spans="1:20" x14ac:dyDescent="0.2">
      <c r="A121">
        <v>26</v>
      </c>
      <c r="B121" t="s">
        <v>62</v>
      </c>
      <c r="C121" t="s">
        <v>63</v>
      </c>
      <c r="D121" t="s">
        <v>325</v>
      </c>
      <c r="F121" t="s">
        <v>378</v>
      </c>
      <c r="G121" s="1">
        <v>6</v>
      </c>
      <c r="H121" t="s">
        <v>20</v>
      </c>
      <c r="I121" s="2">
        <v>192.47399999999999</v>
      </c>
      <c r="J121" s="4">
        <v>3898925</v>
      </c>
      <c r="L121" s="5" t="s">
        <v>397</v>
      </c>
      <c r="N121" s="6" t="s">
        <v>398</v>
      </c>
      <c r="T121" s="11">
        <f t="shared" si="6"/>
        <v>106</v>
      </c>
    </row>
    <row r="122" spans="1:20" x14ac:dyDescent="0.2">
      <c r="A122">
        <v>27</v>
      </c>
      <c r="B122" t="s">
        <v>64</v>
      </c>
      <c r="C122" t="s">
        <v>65</v>
      </c>
      <c r="D122" t="s">
        <v>325</v>
      </c>
      <c r="F122" t="s">
        <v>378</v>
      </c>
      <c r="G122" s="1">
        <v>-3.9</v>
      </c>
      <c r="H122" t="s">
        <v>20</v>
      </c>
      <c r="I122" s="2">
        <v>174.624</v>
      </c>
      <c r="J122" s="4">
        <v>3537350</v>
      </c>
      <c r="L122" s="5" t="s">
        <v>399</v>
      </c>
      <c r="N122" s="6" t="s">
        <v>400</v>
      </c>
      <c r="T122" s="11">
        <f t="shared" si="6"/>
        <v>96.1</v>
      </c>
    </row>
    <row r="123" spans="1:20" x14ac:dyDescent="0.2">
      <c r="A123">
        <v>28</v>
      </c>
      <c r="B123" t="s">
        <v>66</v>
      </c>
      <c r="C123" t="s">
        <v>67</v>
      </c>
      <c r="D123" t="s">
        <v>325</v>
      </c>
      <c r="F123" t="s">
        <v>378</v>
      </c>
      <c r="G123" s="1">
        <v>-6.7</v>
      </c>
      <c r="H123" t="s">
        <v>20</v>
      </c>
      <c r="I123" s="2">
        <v>169.42599999999999</v>
      </c>
      <c r="J123" s="4">
        <v>3432050</v>
      </c>
      <c r="L123" s="5" t="s">
        <v>401</v>
      </c>
      <c r="N123" s="6" t="s">
        <v>402</v>
      </c>
      <c r="T123" s="11">
        <f t="shared" si="6"/>
        <v>93.3</v>
      </c>
    </row>
    <row r="124" spans="1:20" x14ac:dyDescent="0.2">
      <c r="A124">
        <v>29</v>
      </c>
      <c r="B124" t="s">
        <v>68</v>
      </c>
      <c r="C124" t="s">
        <v>69</v>
      </c>
      <c r="D124" t="s">
        <v>325</v>
      </c>
      <c r="F124" t="s">
        <v>378</v>
      </c>
      <c r="G124" s="1">
        <v>6.2</v>
      </c>
      <c r="H124" t="s">
        <v>20</v>
      </c>
      <c r="I124" s="2">
        <v>192.84700000000001</v>
      </c>
      <c r="J124" s="4">
        <v>3906492</v>
      </c>
      <c r="L124" s="5" t="s">
        <v>403</v>
      </c>
      <c r="N124" s="6" t="s">
        <v>404</v>
      </c>
      <c r="T124" s="11">
        <f t="shared" si="6"/>
        <v>106.2</v>
      </c>
    </row>
    <row r="125" spans="1:20" x14ac:dyDescent="0.2">
      <c r="A125">
        <v>30</v>
      </c>
      <c r="B125" t="s">
        <v>70</v>
      </c>
      <c r="C125" t="s">
        <v>71</v>
      </c>
      <c r="D125" t="s">
        <v>325</v>
      </c>
      <c r="F125" t="s">
        <v>405</v>
      </c>
      <c r="G125" s="1">
        <v>5.3</v>
      </c>
      <c r="H125" t="s">
        <v>20</v>
      </c>
      <c r="I125" s="2">
        <v>382.48099999999999</v>
      </c>
      <c r="J125" s="4">
        <v>7747877</v>
      </c>
      <c r="L125" s="5" t="s">
        <v>406</v>
      </c>
      <c r="N125" s="6" t="s">
        <v>407</v>
      </c>
      <c r="T125" s="11">
        <f t="shared" si="6"/>
        <v>105.3</v>
      </c>
    </row>
    <row r="126" spans="1:20" x14ac:dyDescent="0.2">
      <c r="A126">
        <v>31</v>
      </c>
      <c r="B126" t="s">
        <v>72</v>
      </c>
      <c r="C126" t="s">
        <v>73</v>
      </c>
      <c r="D126" t="s">
        <v>325</v>
      </c>
      <c r="F126" t="s">
        <v>405</v>
      </c>
      <c r="G126" s="1">
        <v>-2.7</v>
      </c>
      <c r="H126" t="s">
        <v>20</v>
      </c>
      <c r="I126" s="2">
        <v>353.49599999999998</v>
      </c>
      <c r="J126" s="4">
        <v>7160737</v>
      </c>
      <c r="L126" s="5" t="s">
        <v>408</v>
      </c>
      <c r="N126" s="6" t="s">
        <v>409</v>
      </c>
      <c r="T126" s="11">
        <f t="shared" si="6"/>
        <v>97.3</v>
      </c>
    </row>
    <row r="127" spans="1:20" x14ac:dyDescent="0.2">
      <c r="A127">
        <v>32</v>
      </c>
      <c r="B127" t="s">
        <v>74</v>
      </c>
      <c r="C127" t="s">
        <v>75</v>
      </c>
      <c r="D127" t="s">
        <v>325</v>
      </c>
      <c r="F127" t="s">
        <v>378</v>
      </c>
      <c r="G127" s="1">
        <v>6.3</v>
      </c>
      <c r="H127" t="s">
        <v>20</v>
      </c>
      <c r="I127" s="2">
        <v>193.102</v>
      </c>
      <c r="J127" s="4">
        <v>3911651</v>
      </c>
      <c r="L127" s="5" t="s">
        <v>410</v>
      </c>
      <c r="N127" s="6" t="s">
        <v>411</v>
      </c>
      <c r="T127" s="11">
        <f t="shared" si="6"/>
        <v>106.3</v>
      </c>
    </row>
    <row r="128" spans="1:20" x14ac:dyDescent="0.2">
      <c r="A128">
        <v>33</v>
      </c>
      <c r="B128" t="s">
        <v>76</v>
      </c>
      <c r="C128" t="s">
        <v>77</v>
      </c>
      <c r="D128" t="s">
        <v>325</v>
      </c>
      <c r="F128" t="s">
        <v>378</v>
      </c>
      <c r="G128" s="1">
        <v>4</v>
      </c>
      <c r="H128" t="s">
        <v>20</v>
      </c>
      <c r="I128" s="2">
        <v>188.81299999999999</v>
      </c>
      <c r="J128" s="4">
        <v>3824773</v>
      </c>
      <c r="L128" s="5" t="s">
        <v>412</v>
      </c>
      <c r="N128" s="6" t="s">
        <v>413</v>
      </c>
      <c r="T128" s="11">
        <f t="shared" si="6"/>
        <v>104</v>
      </c>
    </row>
    <row r="129" spans="1:20" x14ac:dyDescent="0.2">
      <c r="A129">
        <v>34</v>
      </c>
      <c r="B129" t="s">
        <v>78</v>
      </c>
      <c r="C129" t="s">
        <v>79</v>
      </c>
      <c r="D129" t="s">
        <v>325</v>
      </c>
      <c r="F129" t="s">
        <v>378</v>
      </c>
      <c r="G129" s="1">
        <v>4.4000000000000004</v>
      </c>
      <c r="H129" t="s">
        <v>20</v>
      </c>
      <c r="I129" s="2">
        <v>189.666</v>
      </c>
      <c r="J129" s="4">
        <v>3842052</v>
      </c>
      <c r="L129" s="5" t="s">
        <v>414</v>
      </c>
      <c r="N129" s="6" t="s">
        <v>415</v>
      </c>
      <c r="T129" s="11">
        <f t="shared" si="6"/>
        <v>104.4</v>
      </c>
    </row>
    <row r="130" spans="1:20" x14ac:dyDescent="0.2">
      <c r="A130">
        <v>35</v>
      </c>
      <c r="B130" t="s">
        <v>80</v>
      </c>
      <c r="C130" t="s">
        <v>81</v>
      </c>
      <c r="D130" t="s">
        <v>325</v>
      </c>
      <c r="F130" t="s">
        <v>378</v>
      </c>
      <c r="G130" s="1">
        <v>5.5</v>
      </c>
      <c r="H130" t="s">
        <v>20</v>
      </c>
      <c r="I130" s="2">
        <v>191.625</v>
      </c>
      <c r="J130" s="4">
        <v>3881726</v>
      </c>
      <c r="L130" s="5" t="s">
        <v>416</v>
      </c>
      <c r="N130" s="6" t="s">
        <v>417</v>
      </c>
      <c r="T130" s="11">
        <f t="shared" si="6"/>
        <v>105.5</v>
      </c>
    </row>
    <row r="131" spans="1:20" x14ac:dyDescent="0.2">
      <c r="A131">
        <v>36</v>
      </c>
      <c r="B131" t="s">
        <v>82</v>
      </c>
      <c r="C131" t="s">
        <v>83</v>
      </c>
      <c r="D131" t="s">
        <v>325</v>
      </c>
      <c r="F131" t="s">
        <v>378</v>
      </c>
      <c r="G131" s="1">
        <v>2.2999999999999998</v>
      </c>
      <c r="H131" t="s">
        <v>20</v>
      </c>
      <c r="I131" s="2">
        <v>185.881</v>
      </c>
      <c r="J131" s="4">
        <v>3765377</v>
      </c>
      <c r="L131" s="5" t="s">
        <v>418</v>
      </c>
      <c r="N131" s="6" t="s">
        <v>419</v>
      </c>
      <c r="T131" s="11">
        <f t="shared" si="6"/>
        <v>102.3</v>
      </c>
    </row>
    <row r="132" spans="1:20" x14ac:dyDescent="0.2">
      <c r="A132">
        <v>37</v>
      </c>
      <c r="B132" t="s">
        <v>84</v>
      </c>
      <c r="C132" t="s">
        <v>85</v>
      </c>
      <c r="D132" t="s">
        <v>325</v>
      </c>
      <c r="F132" t="s">
        <v>378</v>
      </c>
      <c r="G132" s="1">
        <v>6.8</v>
      </c>
      <c r="H132" t="s">
        <v>20</v>
      </c>
      <c r="I132" s="2">
        <v>193.94499999999999</v>
      </c>
      <c r="J132" s="4">
        <v>3928725</v>
      </c>
      <c r="L132" s="5" t="s">
        <v>420</v>
      </c>
      <c r="N132" s="6" t="s">
        <v>421</v>
      </c>
      <c r="T132" s="11">
        <f t="shared" si="6"/>
        <v>106.8</v>
      </c>
    </row>
    <row r="133" spans="1:20" x14ac:dyDescent="0.2">
      <c r="A133">
        <v>38</v>
      </c>
      <c r="B133" t="s">
        <v>86</v>
      </c>
      <c r="C133" t="s">
        <v>87</v>
      </c>
      <c r="D133" t="s">
        <v>325</v>
      </c>
      <c r="F133" t="s">
        <v>378</v>
      </c>
      <c r="G133" s="1">
        <v>5.2</v>
      </c>
      <c r="H133" t="s">
        <v>20</v>
      </c>
      <c r="I133" s="2">
        <v>191.047</v>
      </c>
      <c r="J133" s="4">
        <v>3870013</v>
      </c>
      <c r="L133" s="5" t="s">
        <v>422</v>
      </c>
      <c r="N133" s="6" t="s">
        <v>423</v>
      </c>
      <c r="T133" s="11">
        <f t="shared" si="6"/>
        <v>105.2</v>
      </c>
    </row>
    <row r="134" spans="1:20" x14ac:dyDescent="0.2">
      <c r="A134">
        <v>39</v>
      </c>
      <c r="B134" t="s">
        <v>88</v>
      </c>
      <c r="C134" t="s">
        <v>89</v>
      </c>
      <c r="D134" t="s">
        <v>325</v>
      </c>
      <c r="F134" t="s">
        <v>424</v>
      </c>
      <c r="G134" s="1">
        <v>25.4</v>
      </c>
      <c r="H134" t="s">
        <v>20</v>
      </c>
      <c r="I134" s="2">
        <v>45.545999999999999</v>
      </c>
      <c r="J134" s="4">
        <v>922612</v>
      </c>
      <c r="L134" s="5" t="s">
        <v>425</v>
      </c>
      <c r="N134" s="6" t="s">
        <v>426</v>
      </c>
      <c r="T134" s="11">
        <f t="shared" si="6"/>
        <v>125.4</v>
      </c>
    </row>
    <row r="135" spans="1:20" x14ac:dyDescent="0.2">
      <c r="A135">
        <v>40</v>
      </c>
      <c r="B135" t="s">
        <v>90</v>
      </c>
      <c r="D135" t="s">
        <v>325</v>
      </c>
      <c r="H135" t="s">
        <v>20</v>
      </c>
      <c r="I135" s="2">
        <v>9.0999999999999998E-2</v>
      </c>
      <c r="J135" s="4">
        <v>1846</v>
      </c>
      <c r="L135" s="5" t="s">
        <v>427</v>
      </c>
      <c r="N135" s="6" t="s">
        <v>428</v>
      </c>
      <c r="T135" s="8"/>
    </row>
    <row r="136" spans="1:20" x14ac:dyDescent="0.2">
      <c r="A136">
        <v>41</v>
      </c>
      <c r="B136" t="s">
        <v>91</v>
      </c>
      <c r="D136" t="s">
        <v>325</v>
      </c>
      <c r="H136" t="s">
        <v>119</v>
      </c>
      <c r="I136" s="2">
        <v>4.2999999999999997E-2</v>
      </c>
      <c r="J136" s="4">
        <v>872</v>
      </c>
      <c r="L136" s="5" t="s">
        <v>429</v>
      </c>
      <c r="N136" s="6" t="s">
        <v>430</v>
      </c>
      <c r="T136" s="8"/>
    </row>
    <row r="137" spans="1:20" x14ac:dyDescent="0.2">
      <c r="A137">
        <v>42</v>
      </c>
      <c r="B137" t="s">
        <v>92</v>
      </c>
      <c r="C137" t="s">
        <v>89</v>
      </c>
      <c r="D137" t="s">
        <v>325</v>
      </c>
      <c r="F137" t="s">
        <v>378</v>
      </c>
      <c r="G137" s="1">
        <v>-34.299999999999997</v>
      </c>
      <c r="H137" t="s">
        <v>20</v>
      </c>
      <c r="I137" s="2">
        <v>119.345</v>
      </c>
      <c r="J137" s="4">
        <v>2417559</v>
      </c>
      <c r="L137" s="5" t="s">
        <v>431</v>
      </c>
      <c r="N137" s="6" t="s">
        <v>432</v>
      </c>
      <c r="T137" s="8">
        <f t="shared" si="6"/>
        <v>65.7</v>
      </c>
    </row>
    <row r="138" spans="1:20" x14ac:dyDescent="0.2">
      <c r="A138">
        <v>43</v>
      </c>
      <c r="B138" t="s">
        <v>94</v>
      </c>
      <c r="C138" t="s">
        <v>81</v>
      </c>
      <c r="D138" t="s">
        <v>325</v>
      </c>
      <c r="F138" t="s">
        <v>433</v>
      </c>
      <c r="G138" s="1">
        <v>-65.099999999999994</v>
      </c>
      <c r="H138" t="s">
        <v>20</v>
      </c>
      <c r="I138" s="2">
        <v>1266.578</v>
      </c>
      <c r="J138" s="4">
        <v>25656948</v>
      </c>
      <c r="L138" s="5" t="s">
        <v>434</v>
      </c>
      <c r="N138" s="6" t="s">
        <v>435</v>
      </c>
      <c r="T138" s="8">
        <f t="shared" si="6"/>
        <v>34.900000000000006</v>
      </c>
    </row>
    <row r="139" spans="1:20" x14ac:dyDescent="0.2">
      <c r="A139">
        <v>44</v>
      </c>
      <c r="B139" t="s">
        <v>95</v>
      </c>
      <c r="C139" t="s">
        <v>83</v>
      </c>
      <c r="D139" t="s">
        <v>325</v>
      </c>
      <c r="F139" t="s">
        <v>433</v>
      </c>
      <c r="G139" s="1">
        <v>-64.900000000000006</v>
      </c>
      <c r="H139" t="s">
        <v>20</v>
      </c>
      <c r="I139" s="2">
        <v>1274.0830000000001</v>
      </c>
      <c r="J139" s="4">
        <v>25808964</v>
      </c>
      <c r="L139" s="5" t="s">
        <v>436</v>
      </c>
      <c r="N139" s="6" t="s">
        <v>437</v>
      </c>
      <c r="T139" s="8">
        <f t="shared" si="6"/>
        <v>35.099999999999994</v>
      </c>
    </row>
    <row r="140" spans="1:20" x14ac:dyDescent="0.2">
      <c r="A140">
        <v>45</v>
      </c>
      <c r="B140" t="s">
        <v>96</v>
      </c>
      <c r="C140" t="s">
        <v>85</v>
      </c>
      <c r="D140" t="s">
        <v>325</v>
      </c>
      <c r="F140" t="s">
        <v>433</v>
      </c>
      <c r="G140" s="1">
        <v>-65.400000000000006</v>
      </c>
      <c r="H140" t="s">
        <v>20</v>
      </c>
      <c r="I140" s="2">
        <v>1256.453</v>
      </c>
      <c r="J140" s="4">
        <v>25451846</v>
      </c>
      <c r="L140" s="5" t="s">
        <v>438</v>
      </c>
      <c r="N140" s="6" t="s">
        <v>439</v>
      </c>
      <c r="T140" s="8">
        <f t="shared" si="6"/>
        <v>34.599999999999994</v>
      </c>
    </row>
    <row r="141" spans="1:20" x14ac:dyDescent="0.2">
      <c r="A141">
        <v>46</v>
      </c>
      <c r="B141" t="s">
        <v>97</v>
      </c>
      <c r="C141" t="s">
        <v>87</v>
      </c>
      <c r="D141" t="s">
        <v>325</v>
      </c>
      <c r="F141" t="s">
        <v>433</v>
      </c>
      <c r="G141" s="1">
        <v>-65.400000000000006</v>
      </c>
      <c r="H141" t="s">
        <v>20</v>
      </c>
      <c r="I141" s="2">
        <v>1256.172</v>
      </c>
      <c r="J141" s="4">
        <v>25446148</v>
      </c>
      <c r="L141" s="5" t="s">
        <v>440</v>
      </c>
      <c r="N141" s="6" t="s">
        <v>441</v>
      </c>
      <c r="T141" s="8">
        <f t="shared" si="6"/>
        <v>34.599999999999994</v>
      </c>
    </row>
    <row r="142" spans="1:20" x14ac:dyDescent="0.2">
      <c r="A142">
        <v>47</v>
      </c>
      <c r="B142" t="s">
        <v>98</v>
      </c>
      <c r="C142" t="s">
        <v>73</v>
      </c>
      <c r="D142" t="s">
        <v>325</v>
      </c>
      <c r="F142" t="s">
        <v>442</v>
      </c>
      <c r="G142" s="1">
        <v>-68</v>
      </c>
      <c r="H142" t="s">
        <v>20</v>
      </c>
      <c r="I142" s="2">
        <v>2326.96</v>
      </c>
      <c r="J142" s="4">
        <v>47137000</v>
      </c>
      <c r="L142" s="5" t="s">
        <v>443</v>
      </c>
      <c r="N142" s="6" t="s">
        <v>444</v>
      </c>
      <c r="T142" s="8">
        <f t="shared" si="6"/>
        <v>32</v>
      </c>
    </row>
    <row r="143" spans="1:20" x14ac:dyDescent="0.2">
      <c r="A143">
        <v>48</v>
      </c>
      <c r="B143" t="s">
        <v>99</v>
      </c>
      <c r="C143" t="s">
        <v>75</v>
      </c>
      <c r="D143" t="s">
        <v>325</v>
      </c>
      <c r="F143" t="s">
        <v>433</v>
      </c>
      <c r="G143" s="1">
        <v>-65.099999999999994</v>
      </c>
      <c r="H143" t="s">
        <v>20</v>
      </c>
      <c r="I143" s="2">
        <v>1267.4100000000001</v>
      </c>
      <c r="J143" s="4">
        <v>25673806</v>
      </c>
      <c r="L143" s="5" t="s">
        <v>445</v>
      </c>
      <c r="N143" s="6" t="s">
        <v>446</v>
      </c>
      <c r="T143" s="8">
        <f t="shared" si="6"/>
        <v>34.900000000000006</v>
      </c>
    </row>
    <row r="144" spans="1:20" x14ac:dyDescent="0.2">
      <c r="A144">
        <v>49</v>
      </c>
      <c r="B144" t="s">
        <v>100</v>
      </c>
      <c r="C144" t="s">
        <v>77</v>
      </c>
      <c r="D144" t="s">
        <v>325</v>
      </c>
      <c r="F144" t="s">
        <v>433</v>
      </c>
      <c r="G144" s="1">
        <v>-58.4</v>
      </c>
      <c r="H144" t="s">
        <v>20</v>
      </c>
      <c r="I144" s="2">
        <v>1509.9680000000001</v>
      </c>
      <c r="J144" s="4">
        <v>30587276</v>
      </c>
      <c r="L144" s="5" t="s">
        <v>447</v>
      </c>
      <c r="N144" s="6" t="s">
        <v>448</v>
      </c>
      <c r="T144" s="8">
        <f t="shared" si="6"/>
        <v>41.6</v>
      </c>
    </row>
    <row r="145" spans="1:20" x14ac:dyDescent="0.2">
      <c r="A145">
        <v>50</v>
      </c>
      <c r="B145" t="s">
        <v>101</v>
      </c>
      <c r="C145" t="s">
        <v>79</v>
      </c>
      <c r="D145" t="s">
        <v>325</v>
      </c>
      <c r="F145" t="s">
        <v>433</v>
      </c>
      <c r="G145" s="1">
        <v>-62.7</v>
      </c>
      <c r="H145" t="s">
        <v>20</v>
      </c>
      <c r="I145" s="2">
        <v>1356.4580000000001</v>
      </c>
      <c r="J145" s="4">
        <v>27477638</v>
      </c>
      <c r="L145" s="5" t="s">
        <v>449</v>
      </c>
      <c r="N145" s="6" t="s">
        <v>450</v>
      </c>
      <c r="T145" s="8">
        <f t="shared" si="6"/>
        <v>37.299999999999997</v>
      </c>
    </row>
    <row r="146" spans="1:20" x14ac:dyDescent="0.2">
      <c r="A146">
        <v>51</v>
      </c>
      <c r="B146" t="s">
        <v>102</v>
      </c>
      <c r="C146" t="s">
        <v>65</v>
      </c>
      <c r="D146" t="s">
        <v>451</v>
      </c>
      <c r="F146" t="s">
        <v>433</v>
      </c>
      <c r="G146" s="1">
        <v>-78.900000000000006</v>
      </c>
      <c r="H146" t="s">
        <v>20</v>
      </c>
      <c r="I146" s="2">
        <v>765.96199999999999</v>
      </c>
      <c r="J146" s="4">
        <v>15516010</v>
      </c>
      <c r="L146" s="5" t="s">
        <v>452</v>
      </c>
      <c r="N146" s="6" t="s">
        <v>453</v>
      </c>
      <c r="T146" s="8">
        <f t="shared" si="6"/>
        <v>21.099999999999994</v>
      </c>
    </row>
    <row r="147" spans="1:20" x14ac:dyDescent="0.2">
      <c r="A147">
        <v>52</v>
      </c>
      <c r="B147" t="s">
        <v>103</v>
      </c>
      <c r="C147" t="s">
        <v>67</v>
      </c>
      <c r="D147" t="s">
        <v>451</v>
      </c>
      <c r="F147" t="s">
        <v>433</v>
      </c>
      <c r="G147" s="1">
        <v>-82.5</v>
      </c>
      <c r="H147" t="s">
        <v>20</v>
      </c>
      <c r="I147" s="2">
        <v>634.63800000000003</v>
      </c>
      <c r="J147" s="4">
        <v>12855807</v>
      </c>
      <c r="L147" s="5" t="s">
        <v>454</v>
      </c>
      <c r="N147" s="6" t="s">
        <v>455</v>
      </c>
      <c r="T147" s="8">
        <f t="shared" si="6"/>
        <v>17.5</v>
      </c>
    </row>
    <row r="148" spans="1:20" x14ac:dyDescent="0.2">
      <c r="A148">
        <v>53</v>
      </c>
      <c r="B148" t="s">
        <v>104</v>
      </c>
      <c r="C148" t="s">
        <v>69</v>
      </c>
      <c r="D148" t="s">
        <v>325</v>
      </c>
      <c r="F148" t="s">
        <v>433</v>
      </c>
      <c r="G148" s="1">
        <v>-63.7</v>
      </c>
      <c r="H148" t="s">
        <v>20</v>
      </c>
      <c r="I148" s="2">
        <v>1317.9290000000001</v>
      </c>
      <c r="J148" s="4">
        <v>26697154</v>
      </c>
      <c r="L148" s="5" t="s">
        <v>456</v>
      </c>
      <c r="N148" s="6" t="s">
        <v>457</v>
      </c>
      <c r="T148" s="8">
        <f t="shared" si="6"/>
        <v>36.299999999999997</v>
      </c>
    </row>
    <row r="149" spans="1:20" x14ac:dyDescent="0.2">
      <c r="A149">
        <v>54</v>
      </c>
      <c r="B149" t="s">
        <v>105</v>
      </c>
      <c r="C149" t="s">
        <v>71</v>
      </c>
      <c r="D149" t="s">
        <v>325</v>
      </c>
      <c r="F149" t="s">
        <v>442</v>
      </c>
      <c r="G149" s="1">
        <v>-62.6</v>
      </c>
      <c r="H149" t="s">
        <v>20</v>
      </c>
      <c r="I149" s="2">
        <v>2719.7910000000002</v>
      </c>
      <c r="J149" s="4">
        <v>55094540</v>
      </c>
      <c r="L149" s="5" t="s">
        <v>458</v>
      </c>
      <c r="N149" s="6" t="s">
        <v>459</v>
      </c>
      <c r="T149" s="8">
        <f t="shared" si="6"/>
        <v>37.4</v>
      </c>
    </row>
    <row r="150" spans="1:20" x14ac:dyDescent="0.2">
      <c r="A150">
        <v>55</v>
      </c>
      <c r="B150" t="s">
        <v>106</v>
      </c>
      <c r="C150" t="s">
        <v>57</v>
      </c>
      <c r="D150" t="s">
        <v>325</v>
      </c>
      <c r="F150" t="s">
        <v>433</v>
      </c>
      <c r="G150" s="1">
        <v>-54.2</v>
      </c>
      <c r="H150" t="s">
        <v>20</v>
      </c>
      <c r="I150" s="2">
        <v>1665.4</v>
      </c>
      <c r="J150" s="4">
        <v>33735848</v>
      </c>
      <c r="L150" s="5" t="s">
        <v>460</v>
      </c>
      <c r="N150" s="6" t="s">
        <v>461</v>
      </c>
      <c r="T150" s="8">
        <f t="shared" si="6"/>
        <v>45.8</v>
      </c>
    </row>
    <row r="151" spans="1:20" x14ac:dyDescent="0.2">
      <c r="A151">
        <v>56</v>
      </c>
      <c r="B151" t="s">
        <v>107</v>
      </c>
      <c r="C151" t="s">
        <v>59</v>
      </c>
      <c r="D151" t="s">
        <v>325</v>
      </c>
      <c r="F151" t="s">
        <v>433</v>
      </c>
      <c r="G151" s="1">
        <v>-56</v>
      </c>
      <c r="H151" t="s">
        <v>20</v>
      </c>
      <c r="I151" s="2">
        <v>1597.0920000000001</v>
      </c>
      <c r="J151" s="4">
        <v>32352126</v>
      </c>
      <c r="L151" s="5" t="s">
        <v>462</v>
      </c>
      <c r="N151" s="6" t="s">
        <v>463</v>
      </c>
      <c r="T151" s="8">
        <f t="shared" si="6"/>
        <v>44</v>
      </c>
    </row>
    <row r="152" spans="1:20" x14ac:dyDescent="0.2">
      <c r="A152">
        <v>57</v>
      </c>
      <c r="B152" t="s">
        <v>108</v>
      </c>
      <c r="C152" t="s">
        <v>61</v>
      </c>
      <c r="D152" t="s">
        <v>325</v>
      </c>
      <c r="F152" t="s">
        <v>433</v>
      </c>
      <c r="G152" s="1">
        <v>-57.5</v>
      </c>
      <c r="H152" t="s">
        <v>20</v>
      </c>
      <c r="I152" s="2">
        <v>1545.0640000000001</v>
      </c>
      <c r="J152" s="4">
        <v>31298216</v>
      </c>
      <c r="L152" s="5" t="s">
        <v>464</v>
      </c>
      <c r="N152" s="6" t="s">
        <v>465</v>
      </c>
      <c r="T152" s="8">
        <f t="shared" si="6"/>
        <v>42.5</v>
      </c>
    </row>
    <row r="153" spans="1:20" x14ac:dyDescent="0.2">
      <c r="A153">
        <v>58</v>
      </c>
      <c r="B153" t="s">
        <v>109</v>
      </c>
      <c r="C153" t="s">
        <v>63</v>
      </c>
      <c r="D153" t="s">
        <v>325</v>
      </c>
      <c r="F153" t="s">
        <v>433</v>
      </c>
      <c r="G153" s="1">
        <v>-48.2</v>
      </c>
      <c r="H153" t="s">
        <v>20</v>
      </c>
      <c r="I153" s="2">
        <v>1883.07</v>
      </c>
      <c r="J153" s="4">
        <v>38145156</v>
      </c>
      <c r="L153" s="5" t="s">
        <v>466</v>
      </c>
      <c r="N153" s="6" t="s">
        <v>467</v>
      </c>
      <c r="T153" s="8">
        <f t="shared" si="6"/>
        <v>51.8</v>
      </c>
    </row>
    <row r="154" spans="1:20" x14ac:dyDescent="0.2">
      <c r="A154">
        <v>59</v>
      </c>
      <c r="B154" t="s">
        <v>110</v>
      </c>
      <c r="C154" t="s">
        <v>49</v>
      </c>
      <c r="D154" t="s">
        <v>325</v>
      </c>
      <c r="F154" t="s">
        <v>433</v>
      </c>
      <c r="G154" s="1">
        <v>-48.2</v>
      </c>
      <c r="H154" t="s">
        <v>20</v>
      </c>
      <c r="I154" s="2">
        <v>1882.0119999999999</v>
      </c>
      <c r="J154" s="4">
        <v>38123724</v>
      </c>
      <c r="L154" s="5" t="s">
        <v>468</v>
      </c>
      <c r="N154" s="6" t="s">
        <v>469</v>
      </c>
      <c r="T154" s="8">
        <f t="shared" si="6"/>
        <v>51.8</v>
      </c>
    </row>
    <row r="155" spans="1:20" x14ac:dyDescent="0.2">
      <c r="A155">
        <v>60</v>
      </c>
      <c r="B155" t="s">
        <v>111</v>
      </c>
      <c r="C155" t="s">
        <v>51</v>
      </c>
      <c r="D155" t="s">
        <v>325</v>
      </c>
      <c r="F155" t="s">
        <v>433</v>
      </c>
      <c r="G155" s="1">
        <v>-46.9</v>
      </c>
      <c r="H155" t="s">
        <v>20</v>
      </c>
      <c r="I155" s="2">
        <v>1928.9280000000001</v>
      </c>
      <c r="J155" s="4">
        <v>39074100</v>
      </c>
      <c r="L155" s="5" t="s">
        <v>470</v>
      </c>
      <c r="N155" s="6" t="s">
        <v>471</v>
      </c>
      <c r="T155" s="8">
        <f t="shared" si="6"/>
        <v>53.1</v>
      </c>
    </row>
    <row r="156" spans="1:20" x14ac:dyDescent="0.2">
      <c r="A156">
        <v>61</v>
      </c>
      <c r="B156" t="s">
        <v>112</v>
      </c>
      <c r="C156" t="s">
        <v>53</v>
      </c>
      <c r="D156" t="s">
        <v>325</v>
      </c>
      <c r="F156" t="s">
        <v>433</v>
      </c>
      <c r="G156" s="1">
        <v>-48.9</v>
      </c>
      <c r="H156" t="s">
        <v>20</v>
      </c>
      <c r="I156" s="2">
        <v>1857.845</v>
      </c>
      <c r="J156" s="4">
        <v>37634176</v>
      </c>
      <c r="L156" s="5" t="s">
        <v>472</v>
      </c>
      <c r="N156" s="6" t="s">
        <v>473</v>
      </c>
      <c r="T156" s="8">
        <f t="shared" si="6"/>
        <v>51.1</v>
      </c>
    </row>
    <row r="157" spans="1:20" x14ac:dyDescent="0.2">
      <c r="A157">
        <v>62</v>
      </c>
      <c r="B157" t="s">
        <v>113</v>
      </c>
      <c r="C157" t="s">
        <v>55</v>
      </c>
      <c r="D157" t="s">
        <v>325</v>
      </c>
      <c r="F157" t="s">
        <v>433</v>
      </c>
      <c r="G157" s="1">
        <v>-55.4</v>
      </c>
      <c r="H157" t="s">
        <v>20</v>
      </c>
      <c r="I157" s="2">
        <v>1620.82</v>
      </c>
      <c r="J157" s="4">
        <v>32832794</v>
      </c>
      <c r="L157" s="5" t="s">
        <v>474</v>
      </c>
      <c r="N157" s="6" t="s">
        <v>475</v>
      </c>
      <c r="T157" s="8">
        <f t="shared" si="6"/>
        <v>44.6</v>
      </c>
    </row>
    <row r="158" spans="1:20" x14ac:dyDescent="0.2">
      <c r="A158">
        <v>63</v>
      </c>
      <c r="B158" t="s">
        <v>114</v>
      </c>
      <c r="D158" t="s">
        <v>325</v>
      </c>
      <c r="H158" t="s">
        <v>20</v>
      </c>
      <c r="I158" s="2">
        <v>1.2909999999999999</v>
      </c>
      <c r="J158" s="4">
        <v>26150</v>
      </c>
      <c r="L158" s="5" t="s">
        <v>476</v>
      </c>
      <c r="N158" s="6" t="s">
        <v>477</v>
      </c>
    </row>
    <row r="159" spans="1:20" x14ac:dyDescent="0.2">
      <c r="A159">
        <v>64</v>
      </c>
      <c r="B159" t="s">
        <v>115</v>
      </c>
      <c r="D159" t="s">
        <v>325</v>
      </c>
      <c r="H159" t="s">
        <v>20</v>
      </c>
      <c r="I159" s="2">
        <v>0.51200000000000001</v>
      </c>
      <c r="J159" s="4">
        <v>10375</v>
      </c>
      <c r="L159" s="5" t="s">
        <v>478</v>
      </c>
      <c r="N159" s="6" t="s">
        <v>479</v>
      </c>
    </row>
    <row r="160" spans="1:20" x14ac:dyDescent="0.2">
      <c r="A160">
        <v>65</v>
      </c>
      <c r="B160" t="s">
        <v>116</v>
      </c>
      <c r="D160" t="s">
        <v>325</v>
      </c>
      <c r="H160" t="s">
        <v>20</v>
      </c>
      <c r="I160" s="2">
        <v>0.45700000000000002</v>
      </c>
      <c r="J160" s="4">
        <v>9256</v>
      </c>
      <c r="L160" s="5" t="s">
        <v>480</v>
      </c>
      <c r="N160" s="6" t="s">
        <v>481</v>
      </c>
    </row>
    <row r="161" spans="1:15" x14ac:dyDescent="0.2">
      <c r="A161">
        <v>66</v>
      </c>
      <c r="B161" t="s">
        <v>117</v>
      </c>
      <c r="D161" t="s">
        <v>325</v>
      </c>
      <c r="H161" t="s">
        <v>20</v>
      </c>
      <c r="I161" s="2">
        <v>0.32600000000000001</v>
      </c>
      <c r="J161" s="4">
        <v>6609</v>
      </c>
      <c r="L161" s="5" t="s">
        <v>482</v>
      </c>
      <c r="N161" s="6" t="s">
        <v>483</v>
      </c>
    </row>
    <row r="163" spans="1:15" x14ac:dyDescent="0.2">
      <c r="A163" t="s">
        <v>120</v>
      </c>
    </row>
    <row r="165" spans="1:15" x14ac:dyDescent="0.2">
      <c r="B165" t="s">
        <v>3</v>
      </c>
      <c r="C165" t="s">
        <v>4</v>
      </c>
      <c r="D165" t="s">
        <v>5</v>
      </c>
      <c r="E165" t="s">
        <v>6</v>
      </c>
      <c r="F165" t="s">
        <v>122</v>
      </c>
      <c r="G165" s="1" t="s">
        <v>7</v>
      </c>
      <c r="H165" t="s">
        <v>8</v>
      </c>
      <c r="I165" s="2" t="s">
        <v>9</v>
      </c>
      <c r="J165" s="4" t="s">
        <v>10</v>
      </c>
      <c r="K165" s="4" t="s">
        <v>11</v>
      </c>
      <c r="L165" s="5" t="s">
        <v>12</v>
      </c>
      <c r="M165" s="4" t="s">
        <v>13</v>
      </c>
      <c r="N165" s="6" t="s">
        <v>14</v>
      </c>
      <c r="O165" s="1" t="s">
        <v>15</v>
      </c>
    </row>
    <row r="166" spans="1:15" x14ac:dyDescent="0.2">
      <c r="A166">
        <v>1</v>
      </c>
      <c r="B166" t="s">
        <v>16</v>
      </c>
      <c r="D166" t="s">
        <v>484</v>
      </c>
      <c r="E166" t="s">
        <v>17</v>
      </c>
      <c r="F166" t="s">
        <v>124</v>
      </c>
      <c r="G166" s="1">
        <v>8.6</v>
      </c>
      <c r="H166" t="s">
        <v>20</v>
      </c>
      <c r="I166" s="2">
        <v>0.27100000000000002</v>
      </c>
      <c r="J166" s="4">
        <v>1756</v>
      </c>
      <c r="K166" s="4">
        <v>708837</v>
      </c>
      <c r="L166" s="5" t="s">
        <v>485</v>
      </c>
      <c r="M166" s="4">
        <v>2412</v>
      </c>
      <c r="N166" s="6" t="s">
        <v>486</v>
      </c>
      <c r="O166" s="1" t="s">
        <v>487</v>
      </c>
    </row>
    <row r="167" spans="1:15" x14ac:dyDescent="0.2">
      <c r="A167">
        <v>2</v>
      </c>
      <c r="B167" t="s">
        <v>19</v>
      </c>
      <c r="D167" t="s">
        <v>484</v>
      </c>
      <c r="E167" t="s">
        <v>17</v>
      </c>
      <c r="F167" t="s">
        <v>128</v>
      </c>
      <c r="G167" s="1">
        <v>-7.6</v>
      </c>
      <c r="H167" t="s">
        <v>20</v>
      </c>
      <c r="I167" s="2">
        <v>3.7440000000000002</v>
      </c>
      <c r="J167" s="4">
        <v>27873</v>
      </c>
      <c r="K167" s="4">
        <v>712429</v>
      </c>
      <c r="L167" s="5" t="s">
        <v>488</v>
      </c>
      <c r="M167" s="4">
        <v>28484</v>
      </c>
      <c r="N167" s="6" t="s">
        <v>489</v>
      </c>
      <c r="O167" s="1" t="s">
        <v>490</v>
      </c>
    </row>
    <row r="168" spans="1:15" x14ac:dyDescent="0.2">
      <c r="A168">
        <v>3</v>
      </c>
      <c r="B168" t="s">
        <v>21</v>
      </c>
      <c r="D168" t="s">
        <v>484</v>
      </c>
      <c r="E168" t="s">
        <v>17</v>
      </c>
      <c r="F168" t="s">
        <v>128</v>
      </c>
      <c r="G168" s="1">
        <v>-5.5</v>
      </c>
      <c r="H168" t="s">
        <v>20</v>
      </c>
      <c r="I168" s="2">
        <v>3.8250000000000002</v>
      </c>
      <c r="J168" s="4">
        <v>27972</v>
      </c>
      <c r="K168" s="4">
        <v>699593</v>
      </c>
      <c r="L168" s="5" t="s">
        <v>491</v>
      </c>
      <c r="M168" s="4">
        <v>28000</v>
      </c>
      <c r="N168" s="6" t="s">
        <v>492</v>
      </c>
      <c r="O168" s="1" t="s">
        <v>493</v>
      </c>
    </row>
    <row r="169" spans="1:15" x14ac:dyDescent="0.2">
      <c r="A169">
        <v>4</v>
      </c>
      <c r="B169" t="s">
        <v>22</v>
      </c>
      <c r="D169" t="s">
        <v>484</v>
      </c>
      <c r="E169" t="s">
        <v>17</v>
      </c>
      <c r="F169" t="s">
        <v>136</v>
      </c>
      <c r="G169" s="1">
        <v>-3.3</v>
      </c>
      <c r="H169" t="s">
        <v>20</v>
      </c>
      <c r="I169" s="2">
        <v>13.709</v>
      </c>
      <c r="J169" s="4">
        <v>97345</v>
      </c>
      <c r="K169" s="4">
        <v>674976</v>
      </c>
      <c r="L169" s="5" t="s">
        <v>494</v>
      </c>
      <c r="M169" s="4">
        <v>99491</v>
      </c>
      <c r="N169" s="6" t="s">
        <v>495</v>
      </c>
      <c r="O169" s="1" t="s">
        <v>490</v>
      </c>
    </row>
    <row r="170" spans="1:15" x14ac:dyDescent="0.2">
      <c r="A170">
        <v>5</v>
      </c>
      <c r="B170" t="s">
        <v>23</v>
      </c>
      <c r="D170" t="s">
        <v>496</v>
      </c>
      <c r="E170" t="s">
        <v>17</v>
      </c>
      <c r="F170" t="s">
        <v>136</v>
      </c>
      <c r="G170" s="1">
        <v>-3.3</v>
      </c>
      <c r="H170" t="s">
        <v>20</v>
      </c>
      <c r="I170" s="2">
        <v>13.702999999999999</v>
      </c>
      <c r="J170" s="4">
        <v>94905</v>
      </c>
      <c r="K170" s="4">
        <v>658356</v>
      </c>
      <c r="L170" s="5" t="s">
        <v>497</v>
      </c>
      <c r="M170" s="4">
        <v>97621</v>
      </c>
      <c r="N170" s="6" t="s">
        <v>498</v>
      </c>
      <c r="O170" s="1" t="s">
        <v>499</v>
      </c>
    </row>
    <row r="171" spans="1:15" x14ac:dyDescent="0.2">
      <c r="A171">
        <v>6</v>
      </c>
      <c r="B171" t="s">
        <v>24</v>
      </c>
      <c r="D171" t="s">
        <v>484</v>
      </c>
      <c r="E171" t="s">
        <v>17</v>
      </c>
      <c r="F171" t="s">
        <v>143</v>
      </c>
      <c r="G171" s="1">
        <v>1.7</v>
      </c>
      <c r="H171" t="s">
        <v>20</v>
      </c>
      <c r="I171" s="2">
        <v>82.311000000000007</v>
      </c>
      <c r="J171" s="4">
        <v>553350</v>
      </c>
      <c r="K171" s="4">
        <v>639873</v>
      </c>
      <c r="L171" s="5" t="s">
        <v>500</v>
      </c>
      <c r="M171" s="4">
        <v>560946</v>
      </c>
      <c r="N171" s="6" t="s">
        <v>501</v>
      </c>
      <c r="O171" s="1" t="s">
        <v>502</v>
      </c>
    </row>
    <row r="172" spans="1:15" x14ac:dyDescent="0.2">
      <c r="A172">
        <v>7</v>
      </c>
      <c r="B172" t="s">
        <v>25</v>
      </c>
      <c r="D172" t="s">
        <v>496</v>
      </c>
      <c r="E172" t="s">
        <v>17</v>
      </c>
      <c r="F172" t="s">
        <v>147</v>
      </c>
      <c r="G172" s="1">
        <v>-1.5</v>
      </c>
      <c r="H172" t="s">
        <v>20</v>
      </c>
      <c r="I172" s="2">
        <v>159.566</v>
      </c>
      <c r="J172" s="4">
        <v>1066728</v>
      </c>
      <c r="K172" s="4">
        <v>638717</v>
      </c>
      <c r="L172" s="5" t="s">
        <v>503</v>
      </c>
      <c r="M172" s="4">
        <v>1083735</v>
      </c>
      <c r="N172" s="6" t="s">
        <v>504</v>
      </c>
      <c r="O172" s="1" t="s">
        <v>490</v>
      </c>
    </row>
    <row r="173" spans="1:15" x14ac:dyDescent="0.2">
      <c r="A173">
        <v>8</v>
      </c>
      <c r="B173" t="s">
        <v>26</v>
      </c>
      <c r="D173" t="s">
        <v>484</v>
      </c>
      <c r="E173" t="s">
        <v>17</v>
      </c>
      <c r="F173" t="s">
        <v>151</v>
      </c>
      <c r="G173" s="1">
        <v>-6.5</v>
      </c>
      <c r="H173" t="s">
        <v>20</v>
      </c>
      <c r="I173" s="2">
        <v>378.5</v>
      </c>
      <c r="J173" s="4">
        <v>2407954</v>
      </c>
      <c r="K173" s="4">
        <v>614731</v>
      </c>
      <c r="L173" s="5" t="s">
        <v>505</v>
      </c>
      <c r="M173" s="4">
        <v>2588563</v>
      </c>
      <c r="N173" s="6" t="s">
        <v>506</v>
      </c>
      <c r="O173" s="1" t="s">
        <v>507</v>
      </c>
    </row>
    <row r="174" spans="1:15" x14ac:dyDescent="0.2">
      <c r="A174">
        <v>9</v>
      </c>
      <c r="B174" t="s">
        <v>27</v>
      </c>
      <c r="D174" t="s">
        <v>484</v>
      </c>
      <c r="E174" t="s">
        <v>17</v>
      </c>
      <c r="F174" t="s">
        <v>155</v>
      </c>
      <c r="G174" s="1">
        <v>0.4</v>
      </c>
      <c r="H174" t="s">
        <v>20</v>
      </c>
      <c r="I174" s="2">
        <v>1016.52</v>
      </c>
      <c r="J174" s="4">
        <v>5818469</v>
      </c>
      <c r="K174" s="4">
        <v>572233</v>
      </c>
      <c r="L174" s="5" t="s">
        <v>508</v>
      </c>
      <c r="M174" s="4">
        <v>5868346</v>
      </c>
      <c r="N174" s="6" t="s">
        <v>509</v>
      </c>
      <c r="O174" s="1" t="s">
        <v>502</v>
      </c>
    </row>
    <row r="175" spans="1:15" x14ac:dyDescent="0.2">
      <c r="A175">
        <v>10</v>
      </c>
      <c r="B175" t="s">
        <v>28</v>
      </c>
      <c r="D175" t="s">
        <v>484</v>
      </c>
      <c r="E175" t="s">
        <v>17</v>
      </c>
      <c r="F175" t="s">
        <v>159</v>
      </c>
      <c r="G175" s="1">
        <v>-3.7</v>
      </c>
      <c r="H175" t="s">
        <v>20</v>
      </c>
      <c r="I175" s="2">
        <v>2924.0459999999998</v>
      </c>
      <c r="J175" s="4">
        <v>14134838</v>
      </c>
      <c r="K175" s="4">
        <v>539146</v>
      </c>
      <c r="L175" s="5" t="s">
        <v>510</v>
      </c>
      <c r="M175" s="4">
        <v>15154423</v>
      </c>
      <c r="N175" s="6" t="s">
        <v>511</v>
      </c>
      <c r="O175" s="1" t="s">
        <v>507</v>
      </c>
    </row>
    <row r="176" spans="1:15" x14ac:dyDescent="0.2">
      <c r="A176">
        <v>11</v>
      </c>
      <c r="B176" t="s">
        <v>29</v>
      </c>
      <c r="D176" t="s">
        <v>484</v>
      </c>
      <c r="E176" t="s">
        <v>17</v>
      </c>
      <c r="F176" t="s">
        <v>163</v>
      </c>
      <c r="G176" s="1">
        <v>2.8</v>
      </c>
      <c r="H176" t="s">
        <v>20</v>
      </c>
      <c r="I176" s="2">
        <v>5202.5190000000002</v>
      </c>
      <c r="J176" s="4">
        <v>22270180</v>
      </c>
      <c r="K176" s="4">
        <v>553955</v>
      </c>
      <c r="L176" s="5" t="s">
        <v>512</v>
      </c>
      <c r="M176" s="4">
        <v>22700614</v>
      </c>
      <c r="N176" s="6" t="s">
        <v>513</v>
      </c>
      <c r="O176" s="1" t="s">
        <v>490</v>
      </c>
    </row>
    <row r="177" spans="1:20" x14ac:dyDescent="0.2">
      <c r="A177">
        <v>67</v>
      </c>
      <c r="B177" t="s">
        <v>30</v>
      </c>
      <c r="D177" t="s">
        <v>484</v>
      </c>
      <c r="E177" t="s">
        <v>17</v>
      </c>
      <c r="F177" t="s">
        <v>124</v>
      </c>
      <c r="G177" s="1">
        <v>22</v>
      </c>
      <c r="H177" t="s">
        <v>20</v>
      </c>
      <c r="I177" s="2">
        <v>0.30499999999999999</v>
      </c>
      <c r="J177" s="4">
        <v>1595</v>
      </c>
      <c r="K177" s="4">
        <v>563120</v>
      </c>
      <c r="L177" s="5" t="s">
        <v>514</v>
      </c>
      <c r="M177" s="4">
        <v>2058</v>
      </c>
      <c r="N177" s="6" t="s">
        <v>515</v>
      </c>
      <c r="O177" s="1" t="s">
        <v>516</v>
      </c>
    </row>
    <row r="178" spans="1:20" x14ac:dyDescent="0.2">
      <c r="A178">
        <v>68</v>
      </c>
      <c r="B178" t="s">
        <v>31</v>
      </c>
      <c r="D178" t="s">
        <v>484</v>
      </c>
      <c r="E178" t="s">
        <v>17</v>
      </c>
      <c r="F178" t="s">
        <v>128</v>
      </c>
      <c r="G178" s="1">
        <v>-6</v>
      </c>
      <c r="H178" t="s">
        <v>20</v>
      </c>
      <c r="I178" s="2">
        <v>3.8079999999999998</v>
      </c>
      <c r="J178" s="4">
        <v>24008</v>
      </c>
      <c r="K178" s="4">
        <v>603227</v>
      </c>
      <c r="L178" s="5" t="s">
        <v>517</v>
      </c>
      <c r="M178" s="4">
        <v>25235</v>
      </c>
      <c r="N178" s="6" t="s">
        <v>518</v>
      </c>
      <c r="O178" s="1" t="s">
        <v>519</v>
      </c>
    </row>
    <row r="179" spans="1:20" x14ac:dyDescent="0.2">
      <c r="A179">
        <v>69</v>
      </c>
      <c r="B179" t="s">
        <v>32</v>
      </c>
      <c r="D179" t="s">
        <v>484</v>
      </c>
      <c r="E179" t="s">
        <v>17</v>
      </c>
      <c r="F179" t="s">
        <v>136</v>
      </c>
      <c r="G179" s="1">
        <v>-2.6</v>
      </c>
      <c r="H179" t="s">
        <v>20</v>
      </c>
      <c r="I179" s="2">
        <v>13.805</v>
      </c>
      <c r="J179" s="4">
        <v>86935</v>
      </c>
      <c r="K179" s="4">
        <v>598584</v>
      </c>
      <c r="L179" s="5" t="s">
        <v>520</v>
      </c>
      <c r="M179" s="4">
        <v>87877</v>
      </c>
      <c r="N179" s="6" t="s">
        <v>521</v>
      </c>
      <c r="O179" s="1" t="s">
        <v>502</v>
      </c>
    </row>
    <row r="180" spans="1:20" x14ac:dyDescent="0.2">
      <c r="A180">
        <v>70</v>
      </c>
      <c r="B180" t="s">
        <v>33</v>
      </c>
      <c r="D180" t="s">
        <v>484</v>
      </c>
      <c r="E180" t="s">
        <v>17</v>
      </c>
      <c r="F180" t="s">
        <v>143</v>
      </c>
      <c r="G180" s="1">
        <v>4.0999999999999996</v>
      </c>
      <c r="H180" t="s">
        <v>20</v>
      </c>
      <c r="I180" s="2">
        <v>84.296999999999997</v>
      </c>
      <c r="J180" s="4">
        <v>532181</v>
      </c>
      <c r="K180" s="4">
        <v>600947</v>
      </c>
      <c r="L180" s="5" t="s">
        <v>522</v>
      </c>
      <c r="M180" s="4">
        <v>510186</v>
      </c>
      <c r="N180" s="6" t="s">
        <v>523</v>
      </c>
      <c r="O180" s="1" t="s">
        <v>524</v>
      </c>
    </row>
    <row r="181" spans="1:20" x14ac:dyDescent="0.2">
      <c r="A181">
        <v>71</v>
      </c>
      <c r="B181" t="s">
        <v>34</v>
      </c>
      <c r="D181" t="s">
        <v>484</v>
      </c>
      <c r="E181" t="s">
        <v>17</v>
      </c>
      <c r="F181" t="s">
        <v>147</v>
      </c>
      <c r="G181" s="1">
        <v>-4.0999999999999996</v>
      </c>
      <c r="H181" t="s">
        <v>20</v>
      </c>
      <c r="I181" s="2">
        <v>155.34899999999999</v>
      </c>
      <c r="J181" s="4">
        <v>974156</v>
      </c>
      <c r="K181" s="4">
        <v>598995</v>
      </c>
      <c r="L181" s="5" t="s">
        <v>525</v>
      </c>
      <c r="M181" s="4">
        <v>986997</v>
      </c>
      <c r="N181" s="6" t="s">
        <v>526</v>
      </c>
      <c r="O181" s="1" t="s">
        <v>502</v>
      </c>
    </row>
    <row r="182" spans="1:20" x14ac:dyDescent="0.2">
      <c r="A182">
        <v>72</v>
      </c>
      <c r="B182" t="s">
        <v>35</v>
      </c>
      <c r="D182" t="s">
        <v>484</v>
      </c>
      <c r="E182" t="s">
        <v>17</v>
      </c>
      <c r="F182" t="s">
        <v>151</v>
      </c>
      <c r="G182" s="1">
        <v>0.8</v>
      </c>
      <c r="H182" t="s">
        <v>20</v>
      </c>
      <c r="I182" s="2">
        <v>408.19400000000002</v>
      </c>
      <c r="J182" s="4">
        <v>2451441</v>
      </c>
      <c r="K182" s="4">
        <v>581210</v>
      </c>
      <c r="L182" s="5" t="s">
        <v>527</v>
      </c>
      <c r="M182" s="4">
        <v>2474918</v>
      </c>
      <c r="N182" s="6" t="s">
        <v>528</v>
      </c>
      <c r="O182" s="1" t="s">
        <v>502</v>
      </c>
    </row>
    <row r="183" spans="1:20" x14ac:dyDescent="0.2">
      <c r="A183">
        <v>73</v>
      </c>
      <c r="B183" t="s">
        <v>36</v>
      </c>
      <c r="D183" t="s">
        <v>484</v>
      </c>
      <c r="E183" t="s">
        <v>17</v>
      </c>
      <c r="F183" t="s">
        <v>155</v>
      </c>
      <c r="G183" s="1">
        <v>2.2999999999999998</v>
      </c>
      <c r="H183" t="s">
        <v>20</v>
      </c>
      <c r="I183" s="2">
        <v>1034.7860000000001</v>
      </c>
      <c r="J183" s="4">
        <v>5479879</v>
      </c>
      <c r="K183" s="4">
        <v>529946</v>
      </c>
      <c r="L183" s="5" t="s">
        <v>529</v>
      </c>
      <c r="M183" s="4">
        <v>5225457</v>
      </c>
      <c r="N183" s="6" t="s">
        <v>530</v>
      </c>
      <c r="O183" s="1" t="s">
        <v>531</v>
      </c>
    </row>
    <row r="184" spans="1:20" x14ac:dyDescent="0.2">
      <c r="A184">
        <v>74</v>
      </c>
      <c r="B184" t="s">
        <v>37</v>
      </c>
      <c r="D184" t="s">
        <v>484</v>
      </c>
      <c r="E184" t="s">
        <v>17</v>
      </c>
      <c r="F184" t="s">
        <v>159</v>
      </c>
      <c r="G184" s="1">
        <v>4.5999999999999996</v>
      </c>
      <c r="H184" t="s">
        <v>20</v>
      </c>
      <c r="I184" s="2">
        <v>3174.2930000000001</v>
      </c>
      <c r="J184" s="4">
        <v>14152502</v>
      </c>
      <c r="K184" s="4">
        <v>504924</v>
      </c>
      <c r="L184" s="5" t="s">
        <v>532</v>
      </c>
      <c r="M184" s="4">
        <v>14264537</v>
      </c>
      <c r="N184" s="6" t="s">
        <v>533</v>
      </c>
      <c r="O184" s="1" t="s">
        <v>502</v>
      </c>
    </row>
    <row r="185" spans="1:20" x14ac:dyDescent="0.2">
      <c r="A185">
        <v>75</v>
      </c>
      <c r="B185" t="s">
        <v>38</v>
      </c>
      <c r="D185" t="s">
        <v>484</v>
      </c>
      <c r="E185" t="s">
        <v>17</v>
      </c>
      <c r="F185" t="s">
        <v>163</v>
      </c>
      <c r="G185" s="1">
        <v>-3.2</v>
      </c>
      <c r="H185" t="s">
        <v>20</v>
      </c>
      <c r="I185" s="2">
        <v>4895.8320000000003</v>
      </c>
      <c r="J185" s="4">
        <v>19879468</v>
      </c>
      <c r="K185" s="4">
        <v>514366</v>
      </c>
      <c r="L185" s="5" t="s">
        <v>534</v>
      </c>
      <c r="M185" s="4">
        <v>21278862</v>
      </c>
      <c r="N185" s="6" t="s">
        <v>535</v>
      </c>
      <c r="O185" s="1" t="s">
        <v>507</v>
      </c>
    </row>
    <row r="186" spans="1:20" x14ac:dyDescent="0.2">
      <c r="A186">
        <v>12</v>
      </c>
      <c r="B186" t="s">
        <v>39</v>
      </c>
      <c r="D186" t="s">
        <v>496</v>
      </c>
      <c r="H186" t="s">
        <v>20</v>
      </c>
      <c r="J186" s="4">
        <v>1513</v>
      </c>
      <c r="M186" s="4">
        <v>1763</v>
      </c>
      <c r="N186" s="6" t="s">
        <v>536</v>
      </c>
      <c r="O186" s="1" t="s">
        <v>537</v>
      </c>
    </row>
    <row r="187" spans="1:20" x14ac:dyDescent="0.2">
      <c r="A187">
        <v>13</v>
      </c>
      <c r="B187" t="s">
        <v>40</v>
      </c>
    </row>
    <row r="188" spans="1:20" x14ac:dyDescent="0.2">
      <c r="A188">
        <v>14</v>
      </c>
      <c r="B188" t="s">
        <v>41</v>
      </c>
      <c r="D188" t="s">
        <v>496</v>
      </c>
      <c r="H188" t="s">
        <v>119</v>
      </c>
      <c r="J188" s="4">
        <v>768</v>
      </c>
      <c r="N188" s="6" t="s">
        <v>538</v>
      </c>
    </row>
    <row r="189" spans="1:20" x14ac:dyDescent="0.2">
      <c r="A189">
        <v>15</v>
      </c>
      <c r="B189" t="s">
        <v>42</v>
      </c>
      <c r="D189" t="s">
        <v>539</v>
      </c>
      <c r="H189" t="s">
        <v>119</v>
      </c>
      <c r="J189" s="4">
        <v>622</v>
      </c>
      <c r="N189" s="6" t="s">
        <v>540</v>
      </c>
      <c r="Q189" s="1" t="s">
        <v>794</v>
      </c>
      <c r="R189" s="1" t="s">
        <v>795</v>
      </c>
      <c r="S189" s="10" t="s">
        <v>796</v>
      </c>
      <c r="T189" s="10" t="s">
        <v>797</v>
      </c>
    </row>
    <row r="190" spans="1:20" x14ac:dyDescent="0.2">
      <c r="A190">
        <v>16</v>
      </c>
      <c r="B190" t="s">
        <v>43</v>
      </c>
      <c r="D190" t="s">
        <v>496</v>
      </c>
      <c r="H190" t="s">
        <v>119</v>
      </c>
      <c r="J190" s="4">
        <v>934</v>
      </c>
      <c r="K190" s="4">
        <v>885827</v>
      </c>
      <c r="M190" s="4">
        <v>795</v>
      </c>
      <c r="N190" s="6" t="s">
        <v>541</v>
      </c>
      <c r="O190" s="1" t="s">
        <v>542</v>
      </c>
      <c r="Q190" s="1">
        <v>60000</v>
      </c>
      <c r="R190" s="1"/>
      <c r="S190" s="10"/>
      <c r="T190" s="10"/>
    </row>
    <row r="191" spans="1:20" x14ac:dyDescent="0.2">
      <c r="A191">
        <v>17</v>
      </c>
      <c r="B191" t="s">
        <v>44</v>
      </c>
      <c r="C191" t="s">
        <v>45</v>
      </c>
      <c r="D191" t="s">
        <v>496</v>
      </c>
      <c r="H191" t="s">
        <v>20</v>
      </c>
      <c r="I191" s="2">
        <v>10.316000000000001</v>
      </c>
      <c r="J191" s="4">
        <v>37728</v>
      </c>
      <c r="K191" s="4">
        <v>347806</v>
      </c>
      <c r="L191" s="5" t="s">
        <v>543</v>
      </c>
      <c r="M191" s="4">
        <v>41175</v>
      </c>
      <c r="N191" s="6" t="s">
        <v>544</v>
      </c>
      <c r="O191" s="1" t="s">
        <v>545</v>
      </c>
      <c r="Q191" s="1">
        <v>1</v>
      </c>
      <c r="R191" s="1">
        <v>0.29170000000000001</v>
      </c>
      <c r="S191" s="10">
        <f>((I191*Q191*1.5)/1000)*(6/0.1)*1.296</f>
        <v>1.20325824</v>
      </c>
      <c r="T191" s="10">
        <f>S191/R191</f>
        <v>4.1249853959547478</v>
      </c>
    </row>
    <row r="192" spans="1:20" x14ac:dyDescent="0.2">
      <c r="A192">
        <v>18</v>
      </c>
      <c r="B192" t="s">
        <v>46</v>
      </c>
      <c r="C192" t="s">
        <v>47</v>
      </c>
      <c r="D192" t="s">
        <v>484</v>
      </c>
      <c r="H192" t="s">
        <v>20</v>
      </c>
      <c r="I192" s="2">
        <v>9.1129999999999995</v>
      </c>
      <c r="J192" s="4">
        <v>35360</v>
      </c>
      <c r="K192" s="4">
        <v>369156</v>
      </c>
      <c r="L192" s="5" t="s">
        <v>546</v>
      </c>
      <c r="M192" s="4">
        <v>34363</v>
      </c>
      <c r="N192" s="6" t="s">
        <v>547</v>
      </c>
      <c r="O192" s="1" t="s">
        <v>548</v>
      </c>
      <c r="Q192" s="1">
        <v>1</v>
      </c>
      <c r="R192" s="1">
        <v>0.30769999999999997</v>
      </c>
      <c r="S192" s="10">
        <f t="shared" ref="S192:S213" si="7">((I192*Q192*1.5)/1000)*(6/0.1)*1.296</f>
        <v>1.06294032</v>
      </c>
      <c r="T192" s="10">
        <f t="shared" ref="T192:T213" si="8">S192/R192</f>
        <v>3.454469678258044</v>
      </c>
    </row>
    <row r="193" spans="1:20" x14ac:dyDescent="0.2">
      <c r="A193">
        <v>19</v>
      </c>
      <c r="B193" t="s">
        <v>48</v>
      </c>
      <c r="C193" t="s">
        <v>49</v>
      </c>
      <c r="D193" t="s">
        <v>484</v>
      </c>
      <c r="H193" t="s">
        <v>20</v>
      </c>
      <c r="I193" s="2">
        <v>65.013000000000005</v>
      </c>
      <c r="J193" s="4">
        <v>491520</v>
      </c>
      <c r="K193" s="4">
        <v>718886</v>
      </c>
      <c r="L193" s="5" t="s">
        <v>549</v>
      </c>
      <c r="M193" s="4">
        <v>499284</v>
      </c>
      <c r="N193" s="6" t="s">
        <v>550</v>
      </c>
      <c r="O193" s="1" t="s">
        <v>490</v>
      </c>
      <c r="Q193" s="1">
        <v>20</v>
      </c>
      <c r="R193" s="1">
        <v>0.2994</v>
      </c>
      <c r="S193" s="10">
        <f t="shared" si="7"/>
        <v>151.66232640000004</v>
      </c>
      <c r="T193" s="10">
        <f t="shared" si="8"/>
        <v>506.55419639278568</v>
      </c>
    </row>
    <row r="194" spans="1:20" x14ac:dyDescent="0.2">
      <c r="A194">
        <v>20</v>
      </c>
      <c r="B194" t="s">
        <v>50</v>
      </c>
      <c r="C194" t="s">
        <v>51</v>
      </c>
      <c r="D194" t="s">
        <v>484</v>
      </c>
      <c r="H194" t="s">
        <v>20</v>
      </c>
      <c r="I194" s="2">
        <v>65.855000000000004</v>
      </c>
      <c r="J194" s="4">
        <v>510358</v>
      </c>
      <c r="K194" s="4">
        <v>736915</v>
      </c>
      <c r="L194" s="5" t="s">
        <v>551</v>
      </c>
      <c r="M194" s="4">
        <v>541141</v>
      </c>
      <c r="N194" s="6" t="s">
        <v>552</v>
      </c>
      <c r="O194" s="1" t="s">
        <v>553</v>
      </c>
      <c r="Q194" s="1">
        <v>20</v>
      </c>
      <c r="R194" s="1">
        <v>0.29409999999999997</v>
      </c>
      <c r="S194" s="10">
        <f t="shared" si="7"/>
        <v>153.626544</v>
      </c>
      <c r="T194" s="10">
        <f t="shared" si="8"/>
        <v>522.36159129547775</v>
      </c>
    </row>
    <row r="195" spans="1:20" x14ac:dyDescent="0.2">
      <c r="A195">
        <v>21</v>
      </c>
      <c r="B195" t="s">
        <v>52</v>
      </c>
      <c r="C195" t="s">
        <v>53</v>
      </c>
      <c r="D195" t="s">
        <v>484</v>
      </c>
      <c r="H195" t="s">
        <v>20</v>
      </c>
      <c r="I195" s="2">
        <v>60.079000000000001</v>
      </c>
      <c r="J195" s="4">
        <v>506043</v>
      </c>
      <c r="K195" s="4">
        <v>800745</v>
      </c>
      <c r="L195" s="5" t="s">
        <v>554</v>
      </c>
      <c r="M195" s="4">
        <v>509590</v>
      </c>
      <c r="N195" s="6" t="s">
        <v>555</v>
      </c>
      <c r="O195" s="1" t="s">
        <v>502</v>
      </c>
      <c r="Q195" s="1">
        <v>20</v>
      </c>
      <c r="R195" s="1">
        <v>0.30640000000000001</v>
      </c>
      <c r="S195" s="10">
        <f t="shared" si="7"/>
        <v>140.15229119999998</v>
      </c>
      <c r="T195" s="10">
        <f t="shared" si="8"/>
        <v>457.41609399477801</v>
      </c>
    </row>
    <row r="196" spans="1:20" x14ac:dyDescent="0.2">
      <c r="A196">
        <v>22</v>
      </c>
      <c r="B196" t="s">
        <v>54</v>
      </c>
      <c r="C196" t="s">
        <v>55</v>
      </c>
      <c r="D196" t="s">
        <v>484</v>
      </c>
      <c r="H196" t="s">
        <v>20</v>
      </c>
      <c r="I196" s="2">
        <v>51.273000000000003</v>
      </c>
      <c r="J196" s="4">
        <v>422369</v>
      </c>
      <c r="K196" s="4">
        <v>782858</v>
      </c>
      <c r="L196" s="5" t="s">
        <v>556</v>
      </c>
      <c r="M196" s="4">
        <v>432281</v>
      </c>
      <c r="N196" s="6" t="s">
        <v>557</v>
      </c>
      <c r="O196" s="1" t="s">
        <v>490</v>
      </c>
      <c r="Q196" s="1">
        <v>20</v>
      </c>
      <c r="R196" s="1">
        <v>0.29499999999999998</v>
      </c>
      <c r="S196" s="10">
        <f t="shared" si="7"/>
        <v>119.6096544</v>
      </c>
      <c r="T196" s="10">
        <f t="shared" si="8"/>
        <v>405.45645559322037</v>
      </c>
    </row>
    <row r="197" spans="1:20" x14ac:dyDescent="0.2">
      <c r="A197">
        <v>23</v>
      </c>
      <c r="B197" t="s">
        <v>56</v>
      </c>
      <c r="C197" t="s">
        <v>57</v>
      </c>
      <c r="D197" t="s">
        <v>484</v>
      </c>
      <c r="H197" t="s">
        <v>20</v>
      </c>
      <c r="I197" s="2">
        <v>58.988</v>
      </c>
      <c r="J197" s="4">
        <v>487834</v>
      </c>
      <c r="K197" s="4">
        <v>786170</v>
      </c>
      <c r="L197" s="5" t="s">
        <v>558</v>
      </c>
      <c r="M197" s="4">
        <v>495560</v>
      </c>
      <c r="N197" s="6" t="s">
        <v>559</v>
      </c>
      <c r="O197" s="1" t="s">
        <v>490</v>
      </c>
      <c r="Q197" s="1">
        <v>20</v>
      </c>
      <c r="R197" s="1">
        <v>0.31040000000000001</v>
      </c>
      <c r="S197" s="10">
        <f t="shared" si="7"/>
        <v>137.6072064</v>
      </c>
      <c r="T197" s="10">
        <f t="shared" si="8"/>
        <v>443.32218556701031</v>
      </c>
    </row>
    <row r="198" spans="1:20" x14ac:dyDescent="0.2">
      <c r="A198">
        <v>24</v>
      </c>
      <c r="B198" t="s">
        <v>58</v>
      </c>
      <c r="C198" t="s">
        <v>59</v>
      </c>
      <c r="D198" t="s">
        <v>484</v>
      </c>
      <c r="H198" t="s">
        <v>20</v>
      </c>
      <c r="I198" s="2">
        <v>69.602999999999994</v>
      </c>
      <c r="J198" s="4">
        <v>860251</v>
      </c>
      <c r="K198" s="4">
        <v>1175439</v>
      </c>
      <c r="L198" s="5" t="s">
        <v>560</v>
      </c>
      <c r="M198" s="4">
        <v>813175</v>
      </c>
      <c r="N198" s="6" t="s">
        <v>561</v>
      </c>
      <c r="O198" s="1" t="s">
        <v>562</v>
      </c>
      <c r="Q198" s="1">
        <v>20</v>
      </c>
      <c r="R198" s="1">
        <v>0.31040000000000001</v>
      </c>
      <c r="S198" s="10">
        <f t="shared" si="7"/>
        <v>162.3698784</v>
      </c>
      <c r="T198" s="10">
        <f t="shared" si="8"/>
        <v>523.09883505154642</v>
      </c>
    </row>
    <row r="199" spans="1:20" x14ac:dyDescent="0.2">
      <c r="A199">
        <v>25</v>
      </c>
      <c r="B199" t="s">
        <v>60</v>
      </c>
      <c r="C199" t="s">
        <v>61</v>
      </c>
      <c r="D199" t="s">
        <v>484</v>
      </c>
      <c r="H199" t="s">
        <v>20</v>
      </c>
      <c r="I199" s="2">
        <v>34.924999999999997</v>
      </c>
      <c r="J199" s="4">
        <v>290689</v>
      </c>
      <c r="K199" s="4">
        <v>790581</v>
      </c>
      <c r="L199" s="5" t="s">
        <v>563</v>
      </c>
      <c r="M199" s="4">
        <v>291201</v>
      </c>
      <c r="N199" s="6" t="s">
        <v>564</v>
      </c>
      <c r="O199" s="1" t="s">
        <v>493</v>
      </c>
      <c r="Q199" s="1">
        <v>20</v>
      </c>
      <c r="R199" s="1">
        <v>0.30270000000000002</v>
      </c>
      <c r="S199" s="10">
        <f t="shared" si="7"/>
        <v>81.473039999999997</v>
      </c>
      <c r="T199" s="10">
        <f t="shared" si="8"/>
        <v>269.15441030723485</v>
      </c>
    </row>
    <row r="200" spans="1:20" x14ac:dyDescent="0.2">
      <c r="A200">
        <v>26</v>
      </c>
      <c r="B200" t="s">
        <v>62</v>
      </c>
      <c r="C200" t="s">
        <v>63</v>
      </c>
      <c r="D200" t="s">
        <v>484</v>
      </c>
      <c r="H200" t="s">
        <v>20</v>
      </c>
      <c r="I200" s="2">
        <v>41.526000000000003</v>
      </c>
      <c r="J200" s="4">
        <v>334105</v>
      </c>
      <c r="K200" s="4">
        <v>764360</v>
      </c>
      <c r="L200" s="5" t="s">
        <v>565</v>
      </c>
      <c r="M200" s="4">
        <v>341955</v>
      </c>
      <c r="N200" s="6" t="s">
        <v>566</v>
      </c>
      <c r="O200" s="1" t="s">
        <v>490</v>
      </c>
      <c r="Q200" s="1">
        <v>20</v>
      </c>
      <c r="R200" s="1">
        <v>0.29899999999999999</v>
      </c>
      <c r="S200" s="10">
        <f t="shared" si="7"/>
        <v>96.871852800000013</v>
      </c>
      <c r="T200" s="10">
        <f t="shared" si="8"/>
        <v>323.98612976588635</v>
      </c>
    </row>
    <row r="201" spans="1:20" x14ac:dyDescent="0.2">
      <c r="A201">
        <v>27</v>
      </c>
      <c r="B201" t="s">
        <v>64</v>
      </c>
      <c r="C201" t="s">
        <v>65</v>
      </c>
      <c r="D201" t="s">
        <v>484</v>
      </c>
      <c r="H201" t="s">
        <v>20</v>
      </c>
      <c r="I201" s="2">
        <v>41.878</v>
      </c>
      <c r="J201" s="4">
        <v>358231</v>
      </c>
      <c r="K201" s="4">
        <v>812670</v>
      </c>
      <c r="L201" s="5" t="s">
        <v>567</v>
      </c>
      <c r="M201" s="4">
        <v>365875</v>
      </c>
      <c r="N201" s="6" t="s">
        <v>568</v>
      </c>
      <c r="O201" s="1" t="s">
        <v>490</v>
      </c>
      <c r="Q201" s="1">
        <v>20</v>
      </c>
      <c r="R201" s="1">
        <v>0.30009999999999998</v>
      </c>
      <c r="S201" s="10">
        <f t="shared" si="7"/>
        <v>97.692998399999993</v>
      </c>
      <c r="T201" s="10">
        <f t="shared" si="8"/>
        <v>325.53481639453514</v>
      </c>
    </row>
    <row r="202" spans="1:20" x14ac:dyDescent="0.2">
      <c r="A202">
        <v>28</v>
      </c>
      <c r="B202" t="s">
        <v>66</v>
      </c>
      <c r="C202" t="s">
        <v>67</v>
      </c>
      <c r="D202" t="s">
        <v>484</v>
      </c>
      <c r="H202" t="s">
        <v>20</v>
      </c>
      <c r="I202" s="2">
        <v>37.103999999999999</v>
      </c>
      <c r="J202" s="4">
        <v>317553</v>
      </c>
      <c r="K202" s="4">
        <v>812977</v>
      </c>
      <c r="L202" s="5" t="s">
        <v>569</v>
      </c>
      <c r="M202" s="4">
        <v>336903</v>
      </c>
      <c r="N202" s="6" t="s">
        <v>570</v>
      </c>
      <c r="O202" s="1" t="s">
        <v>553</v>
      </c>
      <c r="Q202" s="1">
        <v>20</v>
      </c>
      <c r="R202" s="1">
        <v>0.29360000000000003</v>
      </c>
      <c r="S202" s="10">
        <f t="shared" si="7"/>
        <v>86.556211200000007</v>
      </c>
      <c r="T202" s="10">
        <f t="shared" si="8"/>
        <v>294.80998365122616</v>
      </c>
    </row>
    <row r="203" spans="1:20" x14ac:dyDescent="0.2">
      <c r="A203">
        <v>29</v>
      </c>
      <c r="B203" t="s">
        <v>68</v>
      </c>
      <c r="C203" t="s">
        <v>69</v>
      </c>
      <c r="D203" t="s">
        <v>484</v>
      </c>
      <c r="H203" t="s">
        <v>20</v>
      </c>
      <c r="I203" s="2">
        <v>41.139000000000003</v>
      </c>
      <c r="J203" s="4">
        <v>331081</v>
      </c>
      <c r="K203" s="4">
        <v>764552</v>
      </c>
      <c r="L203" s="5" t="s">
        <v>571</v>
      </c>
      <c r="M203" s="4">
        <v>337593</v>
      </c>
      <c r="N203" s="6" t="s">
        <v>572</v>
      </c>
      <c r="O203" s="1" t="s">
        <v>490</v>
      </c>
      <c r="Q203" s="1">
        <v>20</v>
      </c>
      <c r="R203" s="1">
        <v>0.30249999999999999</v>
      </c>
      <c r="S203" s="10">
        <f t="shared" si="7"/>
        <v>95.969059200000004</v>
      </c>
      <c r="T203" s="10">
        <f t="shared" si="8"/>
        <v>317.2530882644628</v>
      </c>
    </row>
    <row r="204" spans="1:20" x14ac:dyDescent="0.2">
      <c r="A204">
        <v>30</v>
      </c>
      <c r="B204" t="s">
        <v>70</v>
      </c>
      <c r="C204" t="s">
        <v>71</v>
      </c>
      <c r="D204" t="s">
        <v>484</v>
      </c>
      <c r="H204" t="s">
        <v>20</v>
      </c>
      <c r="I204" s="2">
        <v>32.058999999999997</v>
      </c>
      <c r="J204" s="4">
        <v>254055</v>
      </c>
      <c r="K204" s="4">
        <v>1505365</v>
      </c>
      <c r="L204" s="5" t="s">
        <v>573</v>
      </c>
      <c r="M204" s="4">
        <v>259018</v>
      </c>
      <c r="N204" s="6" t="s">
        <v>574</v>
      </c>
      <c r="O204" s="1" t="s">
        <v>490</v>
      </c>
      <c r="Q204" s="1">
        <v>20</v>
      </c>
      <c r="R204" s="1">
        <v>0.3115</v>
      </c>
      <c r="S204" s="10">
        <f t="shared" si="7"/>
        <v>74.787235200000012</v>
      </c>
      <c r="T204" s="10">
        <f t="shared" si="8"/>
        <v>240.08743242375607</v>
      </c>
    </row>
    <row r="205" spans="1:20" x14ac:dyDescent="0.2">
      <c r="A205">
        <v>31</v>
      </c>
      <c r="B205" t="s">
        <v>72</v>
      </c>
      <c r="C205" t="s">
        <v>73</v>
      </c>
      <c r="D205" t="s">
        <v>484</v>
      </c>
      <c r="H205" t="s">
        <v>20</v>
      </c>
      <c r="I205" s="2">
        <v>20.513999999999999</v>
      </c>
      <c r="J205" s="4">
        <v>148579</v>
      </c>
      <c r="K205" s="4">
        <v>1375942</v>
      </c>
      <c r="L205" s="5" t="s">
        <v>575</v>
      </c>
      <c r="M205" s="4">
        <v>151242</v>
      </c>
      <c r="N205" s="6" t="s">
        <v>576</v>
      </c>
      <c r="O205" s="1" t="s">
        <v>490</v>
      </c>
      <c r="Q205" s="1">
        <v>20</v>
      </c>
      <c r="R205" s="1">
        <v>0.29770000000000002</v>
      </c>
      <c r="S205" s="10">
        <f t="shared" si="7"/>
        <v>47.855059199999999</v>
      </c>
      <c r="T205" s="10">
        <f t="shared" si="8"/>
        <v>160.7492751091703</v>
      </c>
    </row>
    <row r="206" spans="1:20" x14ac:dyDescent="0.2">
      <c r="A206">
        <v>32</v>
      </c>
      <c r="B206" t="s">
        <v>74</v>
      </c>
      <c r="C206" t="s">
        <v>75</v>
      </c>
      <c r="D206" t="s">
        <v>484</v>
      </c>
      <c r="H206" t="s">
        <v>20</v>
      </c>
      <c r="I206" s="2">
        <v>18.745999999999999</v>
      </c>
      <c r="J206" s="4">
        <v>161713</v>
      </c>
      <c r="K206" s="4">
        <v>819437</v>
      </c>
      <c r="L206" s="5" t="s">
        <v>577</v>
      </c>
      <c r="M206" s="4">
        <v>164594</v>
      </c>
      <c r="N206" s="6" t="s">
        <v>578</v>
      </c>
      <c r="O206" s="1" t="s">
        <v>490</v>
      </c>
      <c r="Q206" s="1">
        <v>20</v>
      </c>
      <c r="R206" s="1">
        <v>0.3019</v>
      </c>
      <c r="S206" s="10">
        <f t="shared" si="7"/>
        <v>43.730668799999997</v>
      </c>
      <c r="T206" s="10">
        <f t="shared" si="8"/>
        <v>144.85150314673731</v>
      </c>
    </row>
    <row r="207" spans="1:20" x14ac:dyDescent="0.2">
      <c r="A207">
        <v>33</v>
      </c>
      <c r="B207" t="s">
        <v>76</v>
      </c>
      <c r="C207" t="s">
        <v>77</v>
      </c>
      <c r="D207" t="s">
        <v>484</v>
      </c>
      <c r="H207" t="s">
        <v>20</v>
      </c>
      <c r="I207" s="2">
        <v>21.605</v>
      </c>
      <c r="J207" s="4">
        <v>179751</v>
      </c>
      <c r="K207" s="4">
        <v>790241</v>
      </c>
      <c r="L207" s="5" t="s">
        <v>579</v>
      </c>
      <c r="M207" s="4">
        <v>191800</v>
      </c>
      <c r="N207" s="6" t="s">
        <v>580</v>
      </c>
      <c r="O207" s="1" t="s">
        <v>553</v>
      </c>
      <c r="Q207" s="1">
        <v>20</v>
      </c>
      <c r="R207" s="1">
        <v>0.314</v>
      </c>
      <c r="S207" s="10">
        <f t="shared" si="7"/>
        <v>50.400144000000012</v>
      </c>
      <c r="T207" s="10">
        <f t="shared" si="8"/>
        <v>160.51001273885353</v>
      </c>
    </row>
    <row r="208" spans="1:20" x14ac:dyDescent="0.2">
      <c r="A208">
        <v>34</v>
      </c>
      <c r="B208" t="s">
        <v>78</v>
      </c>
      <c r="C208" t="s">
        <v>79</v>
      </c>
      <c r="D208" t="s">
        <v>484</v>
      </c>
      <c r="H208" t="s">
        <v>20</v>
      </c>
      <c r="I208" s="2">
        <v>20.507999999999999</v>
      </c>
      <c r="J208" s="4">
        <v>166693</v>
      </c>
      <c r="K208" s="4">
        <v>772067</v>
      </c>
      <c r="L208" s="5" t="s">
        <v>581</v>
      </c>
      <c r="M208" s="4">
        <v>170073</v>
      </c>
      <c r="N208" s="6" t="s">
        <v>582</v>
      </c>
      <c r="O208" s="1" t="s">
        <v>490</v>
      </c>
      <c r="Q208" s="1">
        <v>20</v>
      </c>
      <c r="R208" s="1">
        <v>0.29909999999999998</v>
      </c>
      <c r="S208" s="10">
        <f t="shared" si="7"/>
        <v>47.841062400000006</v>
      </c>
      <c r="T208" s="10">
        <f t="shared" si="8"/>
        <v>159.9500581745236</v>
      </c>
    </row>
    <row r="209" spans="1:20" x14ac:dyDescent="0.2">
      <c r="A209">
        <v>35</v>
      </c>
      <c r="B209" t="s">
        <v>80</v>
      </c>
      <c r="C209" t="s">
        <v>81</v>
      </c>
      <c r="D209" t="s">
        <v>484</v>
      </c>
      <c r="H209" t="s">
        <v>119</v>
      </c>
      <c r="I209" s="2">
        <v>0.52300000000000002</v>
      </c>
      <c r="J209" s="4">
        <v>5663</v>
      </c>
      <c r="K209" s="4">
        <v>1104210</v>
      </c>
      <c r="L209" s="5" t="s">
        <v>507</v>
      </c>
      <c r="M209" s="4">
        <v>5449</v>
      </c>
      <c r="N209" s="6" t="s">
        <v>583</v>
      </c>
      <c r="O209" s="1" t="s">
        <v>524</v>
      </c>
      <c r="Q209" s="1">
        <v>20</v>
      </c>
      <c r="R209" s="1">
        <v>0.30609999999999998</v>
      </c>
      <c r="S209" s="10">
        <f t="shared" si="7"/>
        <v>1.2200544000000002</v>
      </c>
      <c r="T209" s="10">
        <f t="shared" si="8"/>
        <v>3.9858033322443656</v>
      </c>
    </row>
    <row r="210" spans="1:20" x14ac:dyDescent="0.2">
      <c r="A210">
        <v>36</v>
      </c>
      <c r="B210" t="s">
        <v>82</v>
      </c>
      <c r="C210" t="s">
        <v>83</v>
      </c>
      <c r="D210" t="s">
        <v>484</v>
      </c>
      <c r="H210" t="s">
        <v>119</v>
      </c>
      <c r="I210" s="2">
        <v>0.52</v>
      </c>
      <c r="J210" s="4">
        <v>4007</v>
      </c>
      <c r="K210" s="4">
        <v>785282</v>
      </c>
      <c r="L210" s="5" t="s">
        <v>507</v>
      </c>
      <c r="M210" s="4">
        <v>3882</v>
      </c>
      <c r="N210" s="6" t="s">
        <v>584</v>
      </c>
      <c r="O210" s="1" t="s">
        <v>548</v>
      </c>
      <c r="Q210" s="1">
        <v>20</v>
      </c>
      <c r="R210" s="1">
        <v>0.29799999999999999</v>
      </c>
      <c r="S210" s="10">
        <f t="shared" si="7"/>
        <v>1.2130560000000001</v>
      </c>
      <c r="T210" s="10">
        <f t="shared" si="8"/>
        <v>4.0706577181208061</v>
      </c>
    </row>
    <row r="211" spans="1:20" x14ac:dyDescent="0.2">
      <c r="A211">
        <v>37</v>
      </c>
      <c r="B211" t="s">
        <v>84</v>
      </c>
      <c r="C211" t="s">
        <v>85</v>
      </c>
      <c r="D211" t="s">
        <v>484</v>
      </c>
      <c r="H211" t="s">
        <v>20</v>
      </c>
      <c r="I211" s="2">
        <v>2.7519999999999998</v>
      </c>
      <c r="J211" s="4">
        <v>24257</v>
      </c>
      <c r="K211" s="4">
        <v>846431</v>
      </c>
      <c r="L211" s="5" t="s">
        <v>585</v>
      </c>
      <c r="M211" s="4">
        <v>24323</v>
      </c>
      <c r="N211" s="6" t="s">
        <v>586</v>
      </c>
      <c r="O211" s="1" t="s">
        <v>493</v>
      </c>
      <c r="Q211" s="1">
        <v>20</v>
      </c>
      <c r="R211" s="1">
        <v>0.31680000000000003</v>
      </c>
      <c r="S211" s="10">
        <f t="shared" si="7"/>
        <v>6.4198655999999996</v>
      </c>
      <c r="T211" s="10">
        <f t="shared" si="8"/>
        <v>20.264727272727271</v>
      </c>
    </row>
    <row r="212" spans="1:20" x14ac:dyDescent="0.2">
      <c r="A212">
        <v>38</v>
      </c>
      <c r="B212" t="s">
        <v>86</v>
      </c>
      <c r="C212" t="s">
        <v>87</v>
      </c>
      <c r="D212" t="s">
        <v>484</v>
      </c>
      <c r="H212" t="s">
        <v>20</v>
      </c>
      <c r="I212" s="2">
        <v>3.1389999999999998</v>
      </c>
      <c r="J212" s="4">
        <v>25583</v>
      </c>
      <c r="K212" s="4">
        <v>781313</v>
      </c>
      <c r="L212" s="5" t="s">
        <v>587</v>
      </c>
      <c r="M212" s="4">
        <v>26589</v>
      </c>
      <c r="N212" s="6" t="s">
        <v>588</v>
      </c>
      <c r="O212" s="1" t="s">
        <v>589</v>
      </c>
      <c r="Q212" s="1">
        <v>20</v>
      </c>
      <c r="R212" s="1">
        <v>0.3145</v>
      </c>
      <c r="S212" s="10">
        <f t="shared" si="7"/>
        <v>7.3226591999999986</v>
      </c>
      <c r="T212" s="10">
        <f t="shared" si="8"/>
        <v>23.283495071542127</v>
      </c>
    </row>
    <row r="213" spans="1:20" x14ac:dyDescent="0.2">
      <c r="A213">
        <v>39</v>
      </c>
      <c r="B213" t="s">
        <v>88</v>
      </c>
      <c r="C213" t="s">
        <v>89</v>
      </c>
      <c r="D213" t="s">
        <v>496</v>
      </c>
      <c r="H213" t="s">
        <v>119</v>
      </c>
      <c r="I213" s="2">
        <v>0.19600000000000001</v>
      </c>
      <c r="J213" s="4">
        <v>1567</v>
      </c>
      <c r="K213" s="4">
        <v>187042</v>
      </c>
      <c r="L213" s="5" t="s">
        <v>590</v>
      </c>
      <c r="M213" s="4">
        <v>1899</v>
      </c>
      <c r="N213" s="6" t="s">
        <v>591</v>
      </c>
      <c r="O213" s="1" t="s">
        <v>592</v>
      </c>
      <c r="Q213" s="1">
        <v>100</v>
      </c>
      <c r="R213" s="1">
        <v>0.31690000000000002</v>
      </c>
      <c r="S213" s="10">
        <f t="shared" si="7"/>
        <v>2.2861440000000002</v>
      </c>
      <c r="T213" s="10">
        <f t="shared" si="8"/>
        <v>7.2140864626065007</v>
      </c>
    </row>
    <row r="214" spans="1:20" x14ac:dyDescent="0.2">
      <c r="A214">
        <v>40</v>
      </c>
      <c r="B214" t="s">
        <v>90</v>
      </c>
    </row>
    <row r="215" spans="1:20" x14ac:dyDescent="0.2">
      <c r="A215">
        <v>41</v>
      </c>
      <c r="B215" t="s">
        <v>91</v>
      </c>
    </row>
    <row r="216" spans="1:20" x14ac:dyDescent="0.2">
      <c r="A216">
        <v>42</v>
      </c>
      <c r="B216" t="s">
        <v>92</v>
      </c>
      <c r="C216" t="s">
        <v>89</v>
      </c>
      <c r="D216" t="s">
        <v>484</v>
      </c>
      <c r="H216" t="s">
        <v>20</v>
      </c>
      <c r="I216" s="2">
        <v>0.54800000000000004</v>
      </c>
      <c r="J216" s="4">
        <v>3912</v>
      </c>
      <c r="K216" s="4">
        <v>725488</v>
      </c>
      <c r="L216" s="5" t="s">
        <v>490</v>
      </c>
      <c r="M216" s="4">
        <v>6857</v>
      </c>
      <c r="N216" s="6" t="s">
        <v>593</v>
      </c>
      <c r="O216" s="1" t="s">
        <v>594</v>
      </c>
      <c r="Q216" s="1">
        <v>20</v>
      </c>
      <c r="R216" s="1">
        <v>0.31690000000000002</v>
      </c>
      <c r="S216" s="10">
        <f t="shared" ref="S216:S236" si="9">((I216*Q216*1.5)/1000)*(6/0.1)*1.296</f>
        <v>1.2783743999999999</v>
      </c>
      <c r="T216" s="12">
        <f t="shared" ref="T216:T236" si="10">S216/R216</f>
        <v>4.0339993688860831</v>
      </c>
    </row>
    <row r="217" spans="1:20" x14ac:dyDescent="0.2">
      <c r="A217">
        <v>43</v>
      </c>
      <c r="B217" t="s">
        <v>94</v>
      </c>
      <c r="C217" t="s">
        <v>81</v>
      </c>
      <c r="D217" t="s">
        <v>496</v>
      </c>
      <c r="H217" t="s">
        <v>20</v>
      </c>
      <c r="I217" s="2">
        <v>8.9610000000000003</v>
      </c>
      <c r="J217" s="4">
        <v>26878</v>
      </c>
      <c r="K217" s="4">
        <v>5707950</v>
      </c>
      <c r="L217" s="5" t="s">
        <v>595</v>
      </c>
      <c r="M217" s="4">
        <v>13144</v>
      </c>
      <c r="N217" s="6" t="s">
        <v>596</v>
      </c>
      <c r="O217" s="1" t="s">
        <v>597</v>
      </c>
      <c r="Q217" s="1">
        <v>1</v>
      </c>
      <c r="R217" s="1">
        <v>0.30609999999999998</v>
      </c>
      <c r="S217" s="10">
        <f t="shared" si="9"/>
        <v>1.0452110400000003</v>
      </c>
      <c r="T217" s="12">
        <f t="shared" si="10"/>
        <v>3.4146064684743558</v>
      </c>
    </row>
    <row r="218" spans="1:20" x14ac:dyDescent="0.2">
      <c r="A218">
        <v>44</v>
      </c>
      <c r="B218" t="s">
        <v>95</v>
      </c>
      <c r="C218" t="s">
        <v>83</v>
      </c>
      <c r="D218" t="s">
        <v>496</v>
      </c>
      <c r="H218" t="s">
        <v>20</v>
      </c>
      <c r="I218" s="2">
        <v>8.4969999999999999</v>
      </c>
      <c r="J218" s="4">
        <v>25374</v>
      </c>
      <c r="K218" s="4">
        <v>5683858</v>
      </c>
      <c r="L218" s="5" t="s">
        <v>598</v>
      </c>
      <c r="M218" s="4">
        <v>65768</v>
      </c>
      <c r="N218" s="6" t="s">
        <v>599</v>
      </c>
      <c r="O218" s="1" t="s">
        <v>600</v>
      </c>
      <c r="Q218" s="1">
        <v>1</v>
      </c>
      <c r="R218" s="1">
        <v>0.29799999999999999</v>
      </c>
      <c r="S218" s="10">
        <f t="shared" si="9"/>
        <v>0.9910900800000001</v>
      </c>
      <c r="T218" s="12">
        <f t="shared" si="10"/>
        <v>3.3258056375838931</v>
      </c>
    </row>
    <row r="219" spans="1:20" x14ac:dyDescent="0.2">
      <c r="A219">
        <v>45</v>
      </c>
      <c r="B219" t="s">
        <v>96</v>
      </c>
      <c r="C219" t="s">
        <v>85</v>
      </c>
      <c r="D219" t="s">
        <v>484</v>
      </c>
      <c r="H219" t="s">
        <v>20</v>
      </c>
      <c r="I219" s="2">
        <v>52.441000000000003</v>
      </c>
      <c r="J219" s="4">
        <v>102401</v>
      </c>
      <c r="K219" s="4">
        <v>3711609</v>
      </c>
      <c r="L219" s="5" t="s">
        <v>601</v>
      </c>
      <c r="M219" s="4">
        <v>113723</v>
      </c>
      <c r="N219" s="6" t="s">
        <v>602</v>
      </c>
      <c r="O219" s="1" t="s">
        <v>603</v>
      </c>
      <c r="Q219" s="1">
        <v>1</v>
      </c>
      <c r="R219" s="1">
        <v>0.31680000000000003</v>
      </c>
      <c r="S219" s="10">
        <f t="shared" si="9"/>
        <v>6.1167182400000009</v>
      </c>
      <c r="T219" s="12">
        <f t="shared" si="10"/>
        <v>19.307822727272729</v>
      </c>
    </row>
    <row r="220" spans="1:20" x14ac:dyDescent="0.2">
      <c r="A220">
        <v>46</v>
      </c>
      <c r="B220" t="s">
        <v>97</v>
      </c>
      <c r="C220" t="s">
        <v>87</v>
      </c>
      <c r="D220" t="s">
        <v>484</v>
      </c>
      <c r="H220" t="s">
        <v>20</v>
      </c>
      <c r="I220" s="2">
        <v>63.642000000000003</v>
      </c>
      <c r="J220" s="4">
        <v>138201</v>
      </c>
      <c r="K220" s="4">
        <v>4129421</v>
      </c>
      <c r="L220" s="5" t="s">
        <v>604</v>
      </c>
      <c r="M220" s="4">
        <v>150095</v>
      </c>
      <c r="N220" s="6" t="s">
        <v>605</v>
      </c>
      <c r="O220" s="1" t="s">
        <v>545</v>
      </c>
      <c r="Q220" s="1">
        <v>1</v>
      </c>
      <c r="R220" s="1">
        <v>0.3145</v>
      </c>
      <c r="S220" s="10">
        <f t="shared" si="9"/>
        <v>7.4232028800000007</v>
      </c>
      <c r="T220" s="12">
        <f t="shared" si="10"/>
        <v>23.603188807631163</v>
      </c>
    </row>
    <row r="221" spans="1:20" x14ac:dyDescent="0.2">
      <c r="A221">
        <v>47</v>
      </c>
      <c r="B221" t="s">
        <v>98</v>
      </c>
      <c r="C221" t="s">
        <v>73</v>
      </c>
      <c r="D221" t="s">
        <v>496</v>
      </c>
      <c r="H221" t="s">
        <v>20</v>
      </c>
      <c r="I221" s="2">
        <v>397.35</v>
      </c>
      <c r="J221" s="4">
        <v>1140177</v>
      </c>
      <c r="K221" s="4">
        <v>11099310</v>
      </c>
      <c r="L221" s="5" t="s">
        <v>606</v>
      </c>
      <c r="M221" s="4">
        <v>1205811</v>
      </c>
      <c r="N221" s="6" t="s">
        <v>607</v>
      </c>
      <c r="O221" s="1" t="s">
        <v>519</v>
      </c>
      <c r="Q221" s="1">
        <v>1</v>
      </c>
      <c r="R221" s="1">
        <v>0.29770000000000002</v>
      </c>
      <c r="S221" s="10">
        <f t="shared" si="9"/>
        <v>46.346904000000009</v>
      </c>
      <c r="T221" s="12">
        <f t="shared" si="10"/>
        <v>155.68325159556602</v>
      </c>
    </row>
    <row r="222" spans="1:20" x14ac:dyDescent="0.2">
      <c r="A222">
        <v>48</v>
      </c>
      <c r="B222" t="s">
        <v>99</v>
      </c>
      <c r="C222" t="s">
        <v>75</v>
      </c>
      <c r="D222" t="s">
        <v>484</v>
      </c>
      <c r="H222" t="s">
        <v>20</v>
      </c>
      <c r="I222" s="2">
        <v>403.05399999999997</v>
      </c>
      <c r="J222" s="4">
        <v>1066751</v>
      </c>
      <c r="K222" s="4">
        <v>5120316</v>
      </c>
      <c r="L222" s="5" t="s">
        <v>608</v>
      </c>
      <c r="M222" s="4">
        <v>1180538</v>
      </c>
      <c r="N222" s="6" t="s">
        <v>609</v>
      </c>
      <c r="O222" s="1" t="s">
        <v>603</v>
      </c>
      <c r="Q222" s="1">
        <v>1</v>
      </c>
      <c r="R222" s="1">
        <v>0.3019</v>
      </c>
      <c r="S222" s="10">
        <f t="shared" si="9"/>
        <v>47.012218559999994</v>
      </c>
      <c r="T222" s="12">
        <f t="shared" si="10"/>
        <v>155.72116117919839</v>
      </c>
    </row>
    <row r="223" spans="1:20" x14ac:dyDescent="0.2">
      <c r="A223">
        <v>49</v>
      </c>
      <c r="B223" t="s">
        <v>100</v>
      </c>
      <c r="C223" t="s">
        <v>77</v>
      </c>
      <c r="D223" t="s">
        <v>496</v>
      </c>
      <c r="H223" t="s">
        <v>20</v>
      </c>
      <c r="I223" s="2">
        <v>430.09300000000002</v>
      </c>
      <c r="J223" s="4">
        <v>1239978</v>
      </c>
      <c r="K223" s="4">
        <v>5585522</v>
      </c>
      <c r="L223" s="5" t="s">
        <v>610</v>
      </c>
      <c r="M223" s="4">
        <v>1306708</v>
      </c>
      <c r="N223" s="6" t="s">
        <v>611</v>
      </c>
      <c r="O223" s="1" t="s">
        <v>519</v>
      </c>
      <c r="Q223" s="1">
        <v>1</v>
      </c>
      <c r="R223" s="1">
        <v>0.314</v>
      </c>
      <c r="S223" s="10">
        <f t="shared" si="9"/>
        <v>50.166047520000006</v>
      </c>
      <c r="T223" s="12">
        <f t="shared" si="10"/>
        <v>159.76448254777071</v>
      </c>
    </row>
    <row r="224" spans="1:20" x14ac:dyDescent="0.2">
      <c r="A224">
        <v>50</v>
      </c>
      <c r="B224" t="s">
        <v>101</v>
      </c>
      <c r="C224" t="s">
        <v>79</v>
      </c>
      <c r="D224" t="s">
        <v>484</v>
      </c>
      <c r="H224" t="s">
        <v>20</v>
      </c>
      <c r="I224" s="2">
        <v>409.13299999999998</v>
      </c>
      <c r="J224" s="4">
        <v>1144544</v>
      </c>
      <c r="K224" s="4">
        <v>5413806</v>
      </c>
      <c r="L224" s="5" t="s">
        <v>612</v>
      </c>
      <c r="M224" s="4">
        <v>1279045</v>
      </c>
      <c r="N224" s="6" t="s">
        <v>613</v>
      </c>
      <c r="O224" s="1" t="s">
        <v>614</v>
      </c>
      <c r="Q224" s="1">
        <v>1</v>
      </c>
      <c r="R224" s="1">
        <v>0.29909999999999998</v>
      </c>
      <c r="S224" s="10">
        <f t="shared" si="9"/>
        <v>47.721273119999999</v>
      </c>
      <c r="T224" s="12">
        <f t="shared" si="10"/>
        <v>159.54955907723169</v>
      </c>
    </row>
    <row r="225" spans="1:20" x14ac:dyDescent="0.2">
      <c r="A225">
        <v>51</v>
      </c>
      <c r="B225" t="s">
        <v>102</v>
      </c>
      <c r="C225" t="s">
        <v>65</v>
      </c>
      <c r="D225" t="s">
        <v>484</v>
      </c>
      <c r="H225" t="s">
        <v>20</v>
      </c>
      <c r="I225" s="2">
        <v>840.97400000000005</v>
      </c>
      <c r="J225" s="4">
        <v>2589095</v>
      </c>
      <c r="K225" s="4">
        <v>6096222</v>
      </c>
      <c r="L225" s="5" t="s">
        <v>615</v>
      </c>
      <c r="M225" s="4">
        <v>2650821</v>
      </c>
      <c r="N225" s="6" t="s">
        <v>616</v>
      </c>
      <c r="O225" s="1" t="s">
        <v>490</v>
      </c>
      <c r="Q225" s="1">
        <v>1</v>
      </c>
      <c r="R225" s="1">
        <v>0.30009999999999998</v>
      </c>
      <c r="S225" s="10">
        <f t="shared" si="9"/>
        <v>98.091207359999999</v>
      </c>
      <c r="T225" s="12">
        <f t="shared" si="10"/>
        <v>326.8617372875708</v>
      </c>
    </row>
    <row r="226" spans="1:20" x14ac:dyDescent="0.2">
      <c r="A226">
        <v>52</v>
      </c>
      <c r="B226" t="s">
        <v>103</v>
      </c>
      <c r="C226" t="s">
        <v>67</v>
      </c>
      <c r="D226" t="s">
        <v>484</v>
      </c>
      <c r="H226" t="s">
        <v>20</v>
      </c>
      <c r="I226" s="2">
        <v>780.54100000000005</v>
      </c>
      <c r="J226" s="4">
        <v>2475470</v>
      </c>
      <c r="K226" s="4">
        <v>6259623</v>
      </c>
      <c r="L226" s="5" t="s">
        <v>617</v>
      </c>
      <c r="M226" s="4">
        <v>2560419</v>
      </c>
      <c r="N226" s="6" t="s">
        <v>618</v>
      </c>
      <c r="O226" s="1" t="s">
        <v>499</v>
      </c>
      <c r="Q226" s="1">
        <v>1</v>
      </c>
      <c r="R226" s="1">
        <v>0.29360000000000003</v>
      </c>
      <c r="S226" s="10">
        <f t="shared" si="9"/>
        <v>91.042302240000012</v>
      </c>
      <c r="T226" s="12">
        <f t="shared" si="10"/>
        <v>310.08958528610356</v>
      </c>
    </row>
    <row r="227" spans="1:20" x14ac:dyDescent="0.2">
      <c r="A227">
        <v>53</v>
      </c>
      <c r="B227" t="s">
        <v>104</v>
      </c>
      <c r="C227" t="s">
        <v>69</v>
      </c>
      <c r="D227" t="s">
        <v>484</v>
      </c>
      <c r="H227" t="s">
        <v>20</v>
      </c>
      <c r="I227" s="2">
        <v>857.16</v>
      </c>
      <c r="J227" s="4">
        <v>2276719</v>
      </c>
      <c r="K227" s="4">
        <v>5264062</v>
      </c>
      <c r="L227" s="5" t="s">
        <v>619</v>
      </c>
      <c r="M227" s="4">
        <v>2349190</v>
      </c>
      <c r="N227" s="6" t="s">
        <v>620</v>
      </c>
      <c r="O227" s="1" t="s">
        <v>499</v>
      </c>
      <c r="Q227" s="1">
        <v>1</v>
      </c>
      <c r="R227" s="1">
        <v>0.30249999999999999</v>
      </c>
      <c r="S227" s="10">
        <f t="shared" si="9"/>
        <v>99.979142400000015</v>
      </c>
      <c r="T227" s="12">
        <f t="shared" si="10"/>
        <v>330.50956165289261</v>
      </c>
    </row>
    <row r="228" spans="1:20" x14ac:dyDescent="0.2">
      <c r="A228">
        <v>54</v>
      </c>
      <c r="B228" t="s">
        <v>105</v>
      </c>
      <c r="C228" t="s">
        <v>71</v>
      </c>
      <c r="D228" t="s">
        <v>484</v>
      </c>
      <c r="H228" t="s">
        <v>20</v>
      </c>
      <c r="I228" s="2">
        <v>653.41300000000001</v>
      </c>
      <c r="J228" s="4">
        <v>1841188</v>
      </c>
      <c r="K228" s="4">
        <v>11047863</v>
      </c>
      <c r="L228" s="5" t="s">
        <v>621</v>
      </c>
      <c r="M228" s="4">
        <v>1944900</v>
      </c>
      <c r="N228" s="6" t="s">
        <v>622</v>
      </c>
      <c r="O228" s="1" t="s">
        <v>519</v>
      </c>
      <c r="Q228" s="1">
        <v>1</v>
      </c>
      <c r="R228" s="1">
        <v>0.3115</v>
      </c>
      <c r="S228" s="10">
        <f t="shared" si="9"/>
        <v>76.214092320000006</v>
      </c>
      <c r="T228" s="12">
        <f t="shared" si="10"/>
        <v>244.66803313001608</v>
      </c>
    </row>
    <row r="229" spans="1:20" x14ac:dyDescent="0.2">
      <c r="A229">
        <v>55</v>
      </c>
      <c r="B229" t="s">
        <v>106</v>
      </c>
      <c r="C229" t="s">
        <v>57</v>
      </c>
      <c r="D229" t="s">
        <v>484</v>
      </c>
      <c r="H229" t="s">
        <v>20</v>
      </c>
      <c r="I229" s="2">
        <v>1245.5889999999999</v>
      </c>
      <c r="J229" s="4">
        <v>3666175</v>
      </c>
      <c r="K229" s="4">
        <v>5957879</v>
      </c>
      <c r="L229" s="5" t="s">
        <v>623</v>
      </c>
      <c r="M229" s="4">
        <v>3686339</v>
      </c>
      <c r="N229" s="6" t="s">
        <v>624</v>
      </c>
      <c r="O229" s="1" t="s">
        <v>502</v>
      </c>
      <c r="Q229" s="1">
        <v>1</v>
      </c>
      <c r="R229" s="1">
        <v>0.31040000000000001</v>
      </c>
      <c r="S229" s="10">
        <f t="shared" si="9"/>
        <v>145.28550096000001</v>
      </c>
      <c r="T229" s="12">
        <f t="shared" si="10"/>
        <v>468.05895927835053</v>
      </c>
    </row>
    <row r="230" spans="1:20" x14ac:dyDescent="0.2">
      <c r="A230">
        <v>56</v>
      </c>
      <c r="B230" t="s">
        <v>107</v>
      </c>
      <c r="C230" t="s">
        <v>59</v>
      </c>
      <c r="D230" t="s">
        <v>496</v>
      </c>
      <c r="H230" t="s">
        <v>20</v>
      </c>
      <c r="I230" s="2">
        <v>1439.8910000000001</v>
      </c>
      <c r="J230" s="4">
        <v>3883868</v>
      </c>
      <c r="K230" s="4">
        <v>5518933</v>
      </c>
      <c r="L230" s="5" t="s">
        <v>625</v>
      </c>
      <c r="M230" s="4">
        <v>3896227</v>
      </c>
      <c r="N230" s="6" t="s">
        <v>626</v>
      </c>
      <c r="O230" s="1" t="s">
        <v>493</v>
      </c>
      <c r="Q230" s="1">
        <v>1</v>
      </c>
      <c r="R230" s="1">
        <v>0.31040000000000001</v>
      </c>
      <c r="S230" s="10">
        <f t="shared" si="9"/>
        <v>167.94888624000006</v>
      </c>
      <c r="T230" s="12">
        <f t="shared" si="10"/>
        <v>541.07244278350538</v>
      </c>
    </row>
    <row r="231" spans="1:20" x14ac:dyDescent="0.2">
      <c r="A231">
        <v>57</v>
      </c>
      <c r="B231" t="s">
        <v>108</v>
      </c>
      <c r="C231" t="s">
        <v>61</v>
      </c>
      <c r="D231" t="s">
        <v>484</v>
      </c>
      <c r="H231" t="s">
        <v>20</v>
      </c>
      <c r="I231" s="2">
        <v>735.654</v>
      </c>
      <c r="J231" s="4">
        <v>1894234</v>
      </c>
      <c r="K231" s="4">
        <v>5069938</v>
      </c>
      <c r="L231" s="5" t="s">
        <v>627</v>
      </c>
      <c r="M231" s="4">
        <v>1968837</v>
      </c>
      <c r="N231" s="6" t="s">
        <v>628</v>
      </c>
      <c r="O231" s="1" t="s">
        <v>589</v>
      </c>
      <c r="Q231" s="1">
        <v>1</v>
      </c>
      <c r="R231" s="1">
        <v>0.30270000000000002</v>
      </c>
      <c r="S231" s="10">
        <f t="shared" si="9"/>
        <v>85.806682559999999</v>
      </c>
      <c r="T231" s="12">
        <f t="shared" si="10"/>
        <v>283.47103587710603</v>
      </c>
    </row>
    <row r="232" spans="1:20" x14ac:dyDescent="0.2">
      <c r="A232">
        <v>58</v>
      </c>
      <c r="B232" t="s">
        <v>109</v>
      </c>
      <c r="C232" t="s">
        <v>63</v>
      </c>
      <c r="D232" t="s">
        <v>484</v>
      </c>
      <c r="H232" t="s">
        <v>20</v>
      </c>
      <c r="I232" s="2">
        <v>840.29700000000003</v>
      </c>
      <c r="J232" s="4">
        <v>2316013</v>
      </c>
      <c r="K232" s="4">
        <v>5457427</v>
      </c>
      <c r="L232" s="5" t="s">
        <v>629</v>
      </c>
      <c r="M232" s="4">
        <v>2554151</v>
      </c>
      <c r="N232" s="6" t="s">
        <v>630</v>
      </c>
      <c r="O232" s="1" t="s">
        <v>631</v>
      </c>
      <c r="Q232" s="1">
        <v>1</v>
      </c>
      <c r="R232" s="1">
        <v>0.29899999999999999</v>
      </c>
      <c r="S232" s="10">
        <f t="shared" si="9"/>
        <v>98.012242080000021</v>
      </c>
      <c r="T232" s="12">
        <f t="shared" si="10"/>
        <v>327.80014073578604</v>
      </c>
    </row>
    <row r="233" spans="1:20" x14ac:dyDescent="0.2">
      <c r="A233">
        <v>59</v>
      </c>
      <c r="B233" t="s">
        <v>110</v>
      </c>
      <c r="C233" t="s">
        <v>49</v>
      </c>
      <c r="D233" t="s">
        <v>484</v>
      </c>
      <c r="H233" t="s">
        <v>20</v>
      </c>
      <c r="I233" s="2">
        <v>1299.3240000000001</v>
      </c>
      <c r="J233" s="4">
        <v>3740910</v>
      </c>
      <c r="K233" s="4">
        <v>5845189</v>
      </c>
      <c r="L233" s="5" t="s">
        <v>632</v>
      </c>
      <c r="M233" s="4">
        <v>3829055</v>
      </c>
      <c r="N233" s="6" t="s">
        <v>633</v>
      </c>
      <c r="O233" s="1" t="s">
        <v>490</v>
      </c>
      <c r="Q233" s="1">
        <v>1</v>
      </c>
      <c r="R233" s="1">
        <v>0.2994</v>
      </c>
      <c r="S233" s="10">
        <f t="shared" si="9"/>
        <v>151.55315136000002</v>
      </c>
      <c r="T233" s="12">
        <f t="shared" si="10"/>
        <v>506.18955030060124</v>
      </c>
    </row>
    <row r="234" spans="1:20" x14ac:dyDescent="0.2">
      <c r="A234">
        <v>60</v>
      </c>
      <c r="B234" t="s">
        <v>111</v>
      </c>
      <c r="C234" t="s">
        <v>51</v>
      </c>
      <c r="D234" t="s">
        <v>496</v>
      </c>
      <c r="H234" t="s">
        <v>20</v>
      </c>
      <c r="I234" s="2">
        <v>1407.3240000000001</v>
      </c>
      <c r="J234" s="4">
        <v>3933744</v>
      </c>
      <c r="K234" s="4">
        <v>5708824</v>
      </c>
      <c r="L234" s="5" t="s">
        <v>634</v>
      </c>
      <c r="M234" s="4">
        <v>3989981</v>
      </c>
      <c r="N234" s="6" t="s">
        <v>635</v>
      </c>
      <c r="O234" s="1" t="s">
        <v>502</v>
      </c>
      <c r="Q234" s="1">
        <v>1</v>
      </c>
      <c r="R234" s="1">
        <v>0.29409999999999997</v>
      </c>
      <c r="S234" s="10">
        <f t="shared" si="9"/>
        <v>164.15027136</v>
      </c>
      <c r="T234" s="12">
        <f t="shared" si="10"/>
        <v>558.14441128867736</v>
      </c>
    </row>
    <row r="235" spans="1:20" x14ac:dyDescent="0.2">
      <c r="A235">
        <v>61</v>
      </c>
      <c r="B235" t="s">
        <v>112</v>
      </c>
      <c r="C235" t="s">
        <v>53</v>
      </c>
      <c r="D235" t="s">
        <v>484</v>
      </c>
      <c r="H235" t="s">
        <v>20</v>
      </c>
      <c r="I235" s="2">
        <v>1267.134</v>
      </c>
      <c r="J235" s="4">
        <v>3935309</v>
      </c>
      <c r="K235" s="4">
        <v>6293967</v>
      </c>
      <c r="L235" s="5" t="s">
        <v>636</v>
      </c>
      <c r="M235" s="4">
        <v>4011238</v>
      </c>
      <c r="N235" s="6" t="s">
        <v>637</v>
      </c>
      <c r="O235" s="1" t="s">
        <v>490</v>
      </c>
      <c r="Q235" s="1">
        <v>1</v>
      </c>
      <c r="R235" s="1">
        <v>0.30640000000000001</v>
      </c>
      <c r="S235" s="10">
        <f t="shared" si="9"/>
        <v>147.79850976</v>
      </c>
      <c r="T235" s="12">
        <f t="shared" si="10"/>
        <v>482.37111540469971</v>
      </c>
    </row>
    <row r="236" spans="1:20" x14ac:dyDescent="0.2">
      <c r="A236">
        <v>62</v>
      </c>
      <c r="B236" t="s">
        <v>113</v>
      </c>
      <c r="C236" t="s">
        <v>55</v>
      </c>
      <c r="D236" t="s">
        <v>496</v>
      </c>
      <c r="H236" t="s">
        <v>20</v>
      </c>
      <c r="I236" s="2">
        <v>1143.338</v>
      </c>
      <c r="J236" s="4">
        <v>2315666</v>
      </c>
      <c r="K236" s="4">
        <v>4076793</v>
      </c>
      <c r="L236" s="5" t="s">
        <v>638</v>
      </c>
      <c r="M236" s="4">
        <v>2313100</v>
      </c>
      <c r="N236" s="6" t="s">
        <v>639</v>
      </c>
      <c r="O236" s="1" t="s">
        <v>493</v>
      </c>
      <c r="Q236" s="1">
        <v>1</v>
      </c>
      <c r="R236" s="1">
        <v>0.29499999999999998</v>
      </c>
      <c r="S236" s="10">
        <f t="shared" si="9"/>
        <v>133.35894432000001</v>
      </c>
      <c r="T236" s="12">
        <f t="shared" si="10"/>
        <v>452.06421803389833</v>
      </c>
    </row>
    <row r="237" spans="1:20" x14ac:dyDescent="0.2">
      <c r="A237">
        <v>63</v>
      </c>
      <c r="B237" t="s">
        <v>114</v>
      </c>
      <c r="K237" s="4">
        <v>677</v>
      </c>
    </row>
    <row r="238" spans="1:20" x14ac:dyDescent="0.2">
      <c r="A238">
        <v>64</v>
      </c>
      <c r="B238" t="s">
        <v>115</v>
      </c>
    </row>
    <row r="239" spans="1:20" x14ac:dyDescent="0.2">
      <c r="A239">
        <v>65</v>
      </c>
      <c r="B239" t="s">
        <v>116</v>
      </c>
    </row>
    <row r="240" spans="1:20" x14ac:dyDescent="0.2">
      <c r="A240">
        <v>66</v>
      </c>
      <c r="B240" t="s">
        <v>117</v>
      </c>
    </row>
    <row r="242" spans="1:15" x14ac:dyDescent="0.2">
      <c r="A242" t="s">
        <v>121</v>
      </c>
    </row>
    <row r="244" spans="1:15" x14ac:dyDescent="0.2">
      <c r="B244" t="s">
        <v>3</v>
      </c>
      <c r="C244" t="s">
        <v>4</v>
      </c>
      <c r="D244" t="s">
        <v>5</v>
      </c>
      <c r="E244" t="s">
        <v>6</v>
      </c>
      <c r="F244" t="s">
        <v>122</v>
      </c>
      <c r="G244" s="1" t="s">
        <v>7</v>
      </c>
      <c r="H244" t="s">
        <v>8</v>
      </c>
      <c r="I244" s="2" t="s">
        <v>9</v>
      </c>
      <c r="J244" s="4" t="s">
        <v>10</v>
      </c>
      <c r="K244" s="4" t="s">
        <v>11</v>
      </c>
      <c r="L244" s="5" t="s">
        <v>12</v>
      </c>
      <c r="M244" s="4" t="s">
        <v>13</v>
      </c>
      <c r="N244" s="6" t="s">
        <v>14</v>
      </c>
      <c r="O244" s="1" t="s">
        <v>15</v>
      </c>
    </row>
    <row r="245" spans="1:15" x14ac:dyDescent="0.2">
      <c r="A245">
        <v>1</v>
      </c>
      <c r="B245" t="s">
        <v>16</v>
      </c>
      <c r="D245" t="s">
        <v>640</v>
      </c>
      <c r="E245" t="s">
        <v>17</v>
      </c>
      <c r="F245" t="s">
        <v>641</v>
      </c>
      <c r="G245" s="1">
        <v>17.100000000000001</v>
      </c>
      <c r="H245" t="s">
        <v>20</v>
      </c>
      <c r="I245" s="2">
        <v>212.999</v>
      </c>
      <c r="J245" s="4">
        <v>708837</v>
      </c>
      <c r="L245" s="5" t="s">
        <v>642</v>
      </c>
      <c r="N245" s="6" t="s">
        <v>643</v>
      </c>
    </row>
    <row r="246" spans="1:15" x14ac:dyDescent="0.2">
      <c r="A246">
        <v>2</v>
      </c>
      <c r="B246" t="s">
        <v>19</v>
      </c>
      <c r="D246" t="s">
        <v>644</v>
      </c>
      <c r="E246" t="s">
        <v>17</v>
      </c>
      <c r="F246" t="s">
        <v>641</v>
      </c>
      <c r="G246" s="1">
        <v>17.7</v>
      </c>
      <c r="H246" t="s">
        <v>20</v>
      </c>
      <c r="I246" s="2">
        <v>214.07900000000001</v>
      </c>
      <c r="J246" s="4">
        <v>712429</v>
      </c>
      <c r="L246" s="5" t="s">
        <v>645</v>
      </c>
      <c r="N246" s="6" t="s">
        <v>646</v>
      </c>
    </row>
    <row r="247" spans="1:15" x14ac:dyDescent="0.2">
      <c r="A247">
        <v>3</v>
      </c>
      <c r="B247" t="s">
        <v>21</v>
      </c>
      <c r="D247" t="s">
        <v>644</v>
      </c>
      <c r="E247" t="s">
        <v>17</v>
      </c>
      <c r="F247" t="s">
        <v>641</v>
      </c>
      <c r="G247" s="1">
        <v>15.6</v>
      </c>
      <c r="H247" t="s">
        <v>20</v>
      </c>
      <c r="I247" s="2">
        <v>210.22200000000001</v>
      </c>
      <c r="J247" s="4">
        <v>699593</v>
      </c>
      <c r="L247" s="5" t="s">
        <v>647</v>
      </c>
      <c r="N247" s="6" t="s">
        <v>648</v>
      </c>
    </row>
    <row r="248" spans="1:15" x14ac:dyDescent="0.2">
      <c r="A248">
        <v>4</v>
      </c>
      <c r="B248" t="s">
        <v>22</v>
      </c>
      <c r="D248" t="s">
        <v>644</v>
      </c>
      <c r="E248" t="s">
        <v>17</v>
      </c>
      <c r="F248" t="s">
        <v>641</v>
      </c>
      <c r="G248" s="1">
        <v>11.5</v>
      </c>
      <c r="H248" t="s">
        <v>20</v>
      </c>
      <c r="I248" s="2">
        <v>202.82400000000001</v>
      </c>
      <c r="J248" s="4">
        <v>674976</v>
      </c>
      <c r="L248" s="5" t="s">
        <v>649</v>
      </c>
      <c r="N248" s="6" t="s">
        <v>650</v>
      </c>
    </row>
    <row r="249" spans="1:15" x14ac:dyDescent="0.2">
      <c r="A249">
        <v>5</v>
      </c>
      <c r="B249" t="s">
        <v>23</v>
      </c>
      <c r="D249" t="s">
        <v>640</v>
      </c>
      <c r="E249" t="s">
        <v>17</v>
      </c>
      <c r="F249" t="s">
        <v>641</v>
      </c>
      <c r="G249" s="1">
        <v>8.6999999999999993</v>
      </c>
      <c r="H249" t="s">
        <v>20</v>
      </c>
      <c r="I249" s="2">
        <v>197.83</v>
      </c>
      <c r="J249" s="4">
        <v>658356</v>
      </c>
      <c r="L249" s="5" t="s">
        <v>651</v>
      </c>
      <c r="N249" s="6" t="s">
        <v>652</v>
      </c>
    </row>
    <row r="250" spans="1:15" x14ac:dyDescent="0.2">
      <c r="A250">
        <v>6</v>
      </c>
      <c r="B250" t="s">
        <v>24</v>
      </c>
      <c r="D250" t="s">
        <v>644</v>
      </c>
      <c r="E250" t="s">
        <v>17</v>
      </c>
      <c r="F250" t="s">
        <v>641</v>
      </c>
      <c r="G250" s="1">
        <v>5.7</v>
      </c>
      <c r="H250" t="s">
        <v>20</v>
      </c>
      <c r="I250" s="2">
        <v>192.27600000000001</v>
      </c>
      <c r="J250" s="4">
        <v>639873</v>
      </c>
      <c r="L250" s="5" t="s">
        <v>653</v>
      </c>
      <c r="N250" s="6" t="s">
        <v>654</v>
      </c>
    </row>
    <row r="251" spans="1:15" x14ac:dyDescent="0.2">
      <c r="A251">
        <v>7</v>
      </c>
      <c r="B251" t="s">
        <v>25</v>
      </c>
      <c r="D251" t="s">
        <v>640</v>
      </c>
      <c r="E251" t="s">
        <v>17</v>
      </c>
      <c r="F251" t="s">
        <v>641</v>
      </c>
      <c r="G251" s="1">
        <v>5.5</v>
      </c>
      <c r="H251" t="s">
        <v>20</v>
      </c>
      <c r="I251" s="2">
        <v>191.929</v>
      </c>
      <c r="J251" s="4">
        <v>638717</v>
      </c>
      <c r="L251" s="5" t="s">
        <v>655</v>
      </c>
      <c r="N251" s="6" t="s">
        <v>656</v>
      </c>
    </row>
    <row r="252" spans="1:15" x14ac:dyDescent="0.2">
      <c r="A252">
        <v>8</v>
      </c>
      <c r="B252" t="s">
        <v>26</v>
      </c>
      <c r="D252" t="s">
        <v>644</v>
      </c>
      <c r="E252" t="s">
        <v>17</v>
      </c>
      <c r="F252" t="s">
        <v>641</v>
      </c>
      <c r="G252" s="1">
        <v>1.5</v>
      </c>
      <c r="H252" t="s">
        <v>20</v>
      </c>
      <c r="I252" s="2">
        <v>184.721</v>
      </c>
      <c r="J252" s="4">
        <v>614731</v>
      </c>
      <c r="L252" s="5" t="s">
        <v>657</v>
      </c>
      <c r="N252" s="6" t="s">
        <v>658</v>
      </c>
    </row>
    <row r="253" spans="1:15" x14ac:dyDescent="0.2">
      <c r="A253">
        <v>9</v>
      </c>
      <c r="B253" t="s">
        <v>27</v>
      </c>
      <c r="D253" t="s">
        <v>644</v>
      </c>
      <c r="E253" t="s">
        <v>17</v>
      </c>
      <c r="F253" t="s">
        <v>641</v>
      </c>
      <c r="G253" s="1">
        <v>-5.5</v>
      </c>
      <c r="H253" t="s">
        <v>20</v>
      </c>
      <c r="I253" s="2">
        <v>171.95099999999999</v>
      </c>
      <c r="J253" s="4">
        <v>572233</v>
      </c>
      <c r="L253" s="5" t="s">
        <v>659</v>
      </c>
      <c r="N253" s="6" t="s">
        <v>660</v>
      </c>
    </row>
    <row r="254" spans="1:15" x14ac:dyDescent="0.2">
      <c r="A254">
        <v>10</v>
      </c>
      <c r="B254" t="s">
        <v>28</v>
      </c>
      <c r="D254" t="s">
        <v>644</v>
      </c>
      <c r="E254" t="s">
        <v>17</v>
      </c>
      <c r="F254" t="s">
        <v>641</v>
      </c>
      <c r="G254" s="1">
        <v>-10.9</v>
      </c>
      <c r="H254" t="s">
        <v>20</v>
      </c>
      <c r="I254" s="2">
        <v>162.00899999999999</v>
      </c>
      <c r="J254" s="4">
        <v>539146</v>
      </c>
      <c r="L254" s="5" t="s">
        <v>661</v>
      </c>
      <c r="N254" s="6" t="s">
        <v>662</v>
      </c>
    </row>
    <row r="255" spans="1:15" x14ac:dyDescent="0.2">
      <c r="A255">
        <v>11</v>
      </c>
      <c r="B255" t="s">
        <v>29</v>
      </c>
      <c r="D255" t="s">
        <v>640</v>
      </c>
      <c r="E255" t="s">
        <v>17</v>
      </c>
      <c r="F255" t="s">
        <v>641</v>
      </c>
      <c r="G255" s="1">
        <v>-8.5</v>
      </c>
      <c r="H255" t="s">
        <v>20</v>
      </c>
      <c r="I255" s="2">
        <v>166.459</v>
      </c>
      <c r="J255" s="4">
        <v>553955</v>
      </c>
      <c r="L255" s="5" t="s">
        <v>663</v>
      </c>
      <c r="N255" s="6" t="s">
        <v>664</v>
      </c>
    </row>
    <row r="256" spans="1:15" x14ac:dyDescent="0.2">
      <c r="A256">
        <v>67</v>
      </c>
      <c r="B256" t="s">
        <v>30</v>
      </c>
      <c r="D256" t="s">
        <v>644</v>
      </c>
      <c r="E256" t="s">
        <v>17</v>
      </c>
      <c r="F256" t="s">
        <v>641</v>
      </c>
      <c r="G256" s="1">
        <v>-7</v>
      </c>
      <c r="H256" t="s">
        <v>20</v>
      </c>
      <c r="I256" s="2">
        <v>169.21299999999999</v>
      </c>
      <c r="J256" s="4">
        <v>563120</v>
      </c>
      <c r="L256" s="5" t="s">
        <v>665</v>
      </c>
      <c r="N256" s="6" t="s">
        <v>666</v>
      </c>
    </row>
    <row r="257" spans="1:20" x14ac:dyDescent="0.2">
      <c r="A257">
        <v>68</v>
      </c>
      <c r="B257" t="s">
        <v>31</v>
      </c>
      <c r="D257" t="s">
        <v>644</v>
      </c>
      <c r="E257" t="s">
        <v>17</v>
      </c>
      <c r="F257" t="s">
        <v>641</v>
      </c>
      <c r="G257" s="1">
        <v>-0.4</v>
      </c>
      <c r="H257" t="s">
        <v>20</v>
      </c>
      <c r="I257" s="2">
        <v>181.26400000000001</v>
      </c>
      <c r="J257" s="4">
        <v>603227</v>
      </c>
      <c r="L257" s="5" t="s">
        <v>667</v>
      </c>
      <c r="N257" s="6" t="s">
        <v>668</v>
      </c>
    </row>
    <row r="258" spans="1:20" x14ac:dyDescent="0.2">
      <c r="A258">
        <v>69</v>
      </c>
      <c r="B258" t="s">
        <v>32</v>
      </c>
      <c r="D258" t="s">
        <v>644</v>
      </c>
      <c r="E258" t="s">
        <v>17</v>
      </c>
      <c r="F258" t="s">
        <v>641</v>
      </c>
      <c r="G258" s="1">
        <v>-1.1000000000000001</v>
      </c>
      <c r="H258" t="s">
        <v>20</v>
      </c>
      <c r="I258" s="2">
        <v>179.869</v>
      </c>
      <c r="J258" s="4">
        <v>598584</v>
      </c>
      <c r="L258" s="5" t="s">
        <v>669</v>
      </c>
      <c r="N258" s="6" t="s">
        <v>670</v>
      </c>
    </row>
    <row r="259" spans="1:20" x14ac:dyDescent="0.2">
      <c r="A259">
        <v>70</v>
      </c>
      <c r="B259" t="s">
        <v>33</v>
      </c>
      <c r="D259" t="s">
        <v>644</v>
      </c>
      <c r="E259" t="s">
        <v>17</v>
      </c>
      <c r="F259" t="s">
        <v>641</v>
      </c>
      <c r="G259" s="1">
        <v>-0.7</v>
      </c>
      <c r="H259" t="s">
        <v>20</v>
      </c>
      <c r="I259" s="2">
        <v>180.57900000000001</v>
      </c>
      <c r="J259" s="4">
        <v>600947</v>
      </c>
      <c r="L259" s="5" t="s">
        <v>671</v>
      </c>
      <c r="N259" s="6" t="s">
        <v>672</v>
      </c>
    </row>
    <row r="260" spans="1:20" x14ac:dyDescent="0.2">
      <c r="A260">
        <v>71</v>
      </c>
      <c r="B260" t="s">
        <v>34</v>
      </c>
      <c r="D260" t="s">
        <v>644</v>
      </c>
      <c r="E260" t="s">
        <v>17</v>
      </c>
      <c r="F260" t="s">
        <v>641</v>
      </c>
      <c r="G260" s="1">
        <v>-1.1000000000000001</v>
      </c>
      <c r="H260" t="s">
        <v>20</v>
      </c>
      <c r="I260" s="2">
        <v>179.99299999999999</v>
      </c>
      <c r="J260" s="4">
        <v>598995</v>
      </c>
      <c r="L260" s="5" t="s">
        <v>673</v>
      </c>
      <c r="N260" s="6" t="s">
        <v>674</v>
      </c>
    </row>
    <row r="261" spans="1:20" x14ac:dyDescent="0.2">
      <c r="A261">
        <v>72</v>
      </c>
      <c r="B261" t="s">
        <v>35</v>
      </c>
      <c r="D261" t="s">
        <v>644</v>
      </c>
      <c r="E261" t="s">
        <v>17</v>
      </c>
      <c r="F261" t="s">
        <v>641</v>
      </c>
      <c r="G261" s="1">
        <v>-4</v>
      </c>
      <c r="H261" t="s">
        <v>20</v>
      </c>
      <c r="I261" s="2">
        <v>174.649</v>
      </c>
      <c r="J261" s="4">
        <v>581210</v>
      </c>
      <c r="L261" s="5" t="s">
        <v>675</v>
      </c>
      <c r="N261" s="6" t="s">
        <v>676</v>
      </c>
    </row>
    <row r="262" spans="1:20" x14ac:dyDescent="0.2">
      <c r="A262">
        <v>73</v>
      </c>
      <c r="B262" t="s">
        <v>36</v>
      </c>
      <c r="D262" t="s">
        <v>644</v>
      </c>
      <c r="E262" t="s">
        <v>17</v>
      </c>
      <c r="F262" t="s">
        <v>641</v>
      </c>
      <c r="G262" s="1">
        <v>-12.5</v>
      </c>
      <c r="H262" t="s">
        <v>20</v>
      </c>
      <c r="I262" s="2">
        <v>159.244</v>
      </c>
      <c r="J262" s="4">
        <v>529946</v>
      </c>
      <c r="L262" s="5" t="s">
        <v>677</v>
      </c>
      <c r="N262" s="6" t="s">
        <v>678</v>
      </c>
    </row>
    <row r="263" spans="1:20" x14ac:dyDescent="0.2">
      <c r="A263">
        <v>74</v>
      </c>
      <c r="B263" t="s">
        <v>37</v>
      </c>
      <c r="D263" t="s">
        <v>644</v>
      </c>
      <c r="E263" t="s">
        <v>17</v>
      </c>
      <c r="F263" t="s">
        <v>641</v>
      </c>
      <c r="G263" s="1">
        <v>-16.600000000000001</v>
      </c>
      <c r="H263" t="s">
        <v>20</v>
      </c>
      <c r="I263" s="2">
        <v>151.72499999999999</v>
      </c>
      <c r="J263" s="4">
        <v>504924</v>
      </c>
      <c r="L263" s="5" t="s">
        <v>679</v>
      </c>
      <c r="N263" s="6" t="s">
        <v>680</v>
      </c>
    </row>
    <row r="264" spans="1:20" x14ac:dyDescent="0.2">
      <c r="A264">
        <v>75</v>
      </c>
      <c r="B264" t="s">
        <v>38</v>
      </c>
      <c r="D264" t="s">
        <v>640</v>
      </c>
      <c r="E264" t="s">
        <v>17</v>
      </c>
      <c r="F264" t="s">
        <v>641</v>
      </c>
      <c r="G264" s="1">
        <v>-15</v>
      </c>
      <c r="H264" t="s">
        <v>20</v>
      </c>
      <c r="I264" s="2">
        <v>154.56299999999999</v>
      </c>
      <c r="J264" s="4">
        <v>514366</v>
      </c>
      <c r="L264" s="5" t="s">
        <v>681</v>
      </c>
      <c r="N264" s="6" t="s">
        <v>682</v>
      </c>
    </row>
    <row r="265" spans="1:20" x14ac:dyDescent="0.2">
      <c r="A265">
        <v>12</v>
      </c>
      <c r="B265" t="s">
        <v>39</v>
      </c>
    </row>
    <row r="266" spans="1:20" x14ac:dyDescent="0.2">
      <c r="A266">
        <v>13</v>
      </c>
      <c r="B266" t="s">
        <v>40</v>
      </c>
    </row>
    <row r="267" spans="1:20" x14ac:dyDescent="0.2">
      <c r="A267">
        <v>14</v>
      </c>
      <c r="B267" t="s">
        <v>41</v>
      </c>
    </row>
    <row r="268" spans="1:20" x14ac:dyDescent="0.2">
      <c r="A268">
        <v>15</v>
      </c>
      <c r="B268" t="s">
        <v>42</v>
      </c>
      <c r="Q268" s="1" t="s">
        <v>794</v>
      </c>
      <c r="R268" s="1" t="s">
        <v>798</v>
      </c>
      <c r="S268" s="9" t="s">
        <v>799</v>
      </c>
      <c r="T268" s="8" t="s">
        <v>800</v>
      </c>
    </row>
    <row r="269" spans="1:20" x14ac:dyDescent="0.2">
      <c r="A269">
        <v>16</v>
      </c>
      <c r="B269" t="s">
        <v>43</v>
      </c>
      <c r="D269" t="s">
        <v>640</v>
      </c>
      <c r="H269" t="s">
        <v>20</v>
      </c>
      <c r="I269" s="2">
        <v>266.18400000000003</v>
      </c>
      <c r="J269" s="4">
        <v>885827</v>
      </c>
      <c r="L269" s="5" t="s">
        <v>683</v>
      </c>
      <c r="N269" s="6" t="s">
        <v>684</v>
      </c>
      <c r="Q269" s="1">
        <v>60000</v>
      </c>
      <c r="R269" s="4">
        <f>I269*Q269/1000</f>
        <v>15971.040000000003</v>
      </c>
      <c r="S269" s="4">
        <v>14126</v>
      </c>
      <c r="T269" s="6">
        <f>R269*100/S269</f>
        <v>113.06130539430838</v>
      </c>
    </row>
    <row r="270" spans="1:20" x14ac:dyDescent="0.2">
      <c r="A270">
        <v>17</v>
      </c>
      <c r="B270" t="s">
        <v>44</v>
      </c>
      <c r="C270" t="s">
        <v>45</v>
      </c>
      <c r="D270" t="s">
        <v>640</v>
      </c>
      <c r="F270" t="s">
        <v>685</v>
      </c>
      <c r="G270" s="1">
        <v>-42.5</v>
      </c>
      <c r="H270" t="s">
        <v>20</v>
      </c>
      <c r="I270" s="2">
        <v>104.51300000000001</v>
      </c>
      <c r="J270" s="4">
        <v>347806</v>
      </c>
      <c r="L270" s="5" t="s">
        <v>686</v>
      </c>
      <c r="N270" s="6" t="s">
        <v>687</v>
      </c>
      <c r="Q270" s="1"/>
      <c r="R270" s="1"/>
      <c r="S270" s="9"/>
      <c r="T270" s="8">
        <f>100+G270</f>
        <v>57.5</v>
      </c>
    </row>
    <row r="271" spans="1:20" x14ac:dyDescent="0.2">
      <c r="A271">
        <v>18</v>
      </c>
      <c r="B271" t="s">
        <v>46</v>
      </c>
      <c r="C271" t="s">
        <v>47</v>
      </c>
      <c r="D271" t="s">
        <v>644</v>
      </c>
      <c r="F271" t="s">
        <v>685</v>
      </c>
      <c r="G271" s="1">
        <v>-39</v>
      </c>
      <c r="H271" t="s">
        <v>20</v>
      </c>
      <c r="I271" s="2">
        <v>110.928</v>
      </c>
      <c r="J271" s="4">
        <v>369156</v>
      </c>
      <c r="L271" s="5" t="s">
        <v>688</v>
      </c>
      <c r="N271" s="6" t="s">
        <v>689</v>
      </c>
      <c r="T271" s="8">
        <f t="shared" ref="T271:T292" si="11">100+G271</f>
        <v>61</v>
      </c>
    </row>
    <row r="272" spans="1:20" x14ac:dyDescent="0.2">
      <c r="A272">
        <v>19</v>
      </c>
      <c r="B272" t="s">
        <v>48</v>
      </c>
      <c r="C272" t="s">
        <v>49</v>
      </c>
      <c r="D272" t="s">
        <v>644</v>
      </c>
      <c r="F272" t="s">
        <v>685</v>
      </c>
      <c r="G272" s="1">
        <v>18.8</v>
      </c>
      <c r="H272" t="s">
        <v>20</v>
      </c>
      <c r="I272" s="2">
        <v>216.01900000000001</v>
      </c>
      <c r="J272" s="4">
        <v>718886</v>
      </c>
      <c r="L272" s="5" t="s">
        <v>690</v>
      </c>
      <c r="N272" s="6" t="s">
        <v>691</v>
      </c>
      <c r="T272" s="8">
        <f t="shared" si="11"/>
        <v>118.8</v>
      </c>
    </row>
    <row r="273" spans="1:20" x14ac:dyDescent="0.2">
      <c r="A273">
        <v>20</v>
      </c>
      <c r="B273" t="s">
        <v>50</v>
      </c>
      <c r="C273" t="s">
        <v>51</v>
      </c>
      <c r="D273" t="s">
        <v>644</v>
      </c>
      <c r="F273" t="s">
        <v>685</v>
      </c>
      <c r="G273" s="1">
        <v>21.7</v>
      </c>
      <c r="H273" t="s">
        <v>20</v>
      </c>
      <c r="I273" s="2">
        <v>221.43700000000001</v>
      </c>
      <c r="J273" s="4">
        <v>736915</v>
      </c>
      <c r="L273" s="5" t="s">
        <v>692</v>
      </c>
      <c r="N273" s="6" t="s">
        <v>693</v>
      </c>
      <c r="T273" s="8">
        <f t="shared" si="11"/>
        <v>121.7</v>
      </c>
    </row>
    <row r="274" spans="1:20" x14ac:dyDescent="0.2">
      <c r="A274">
        <v>21</v>
      </c>
      <c r="B274" t="s">
        <v>52</v>
      </c>
      <c r="C274" t="s">
        <v>53</v>
      </c>
      <c r="D274" t="s">
        <v>644</v>
      </c>
      <c r="F274" t="s">
        <v>685</v>
      </c>
      <c r="G274" s="1">
        <v>32.299999999999997</v>
      </c>
      <c r="H274" t="s">
        <v>20</v>
      </c>
      <c r="I274" s="2">
        <v>240.61699999999999</v>
      </c>
      <c r="J274" s="4">
        <v>800745</v>
      </c>
      <c r="L274" s="5" t="s">
        <v>694</v>
      </c>
      <c r="N274" s="6" t="s">
        <v>695</v>
      </c>
      <c r="T274" s="8">
        <f t="shared" si="11"/>
        <v>132.30000000000001</v>
      </c>
    </row>
    <row r="275" spans="1:20" x14ac:dyDescent="0.2">
      <c r="A275">
        <v>22</v>
      </c>
      <c r="B275" t="s">
        <v>54</v>
      </c>
      <c r="C275" t="s">
        <v>55</v>
      </c>
      <c r="D275" t="s">
        <v>644</v>
      </c>
      <c r="F275" t="s">
        <v>685</v>
      </c>
      <c r="G275" s="1">
        <v>29.3</v>
      </c>
      <c r="H275" t="s">
        <v>20</v>
      </c>
      <c r="I275" s="2">
        <v>235.24199999999999</v>
      </c>
      <c r="J275" s="4">
        <v>782858</v>
      </c>
      <c r="L275" s="5" t="s">
        <v>696</v>
      </c>
      <c r="N275" s="6" t="s">
        <v>697</v>
      </c>
      <c r="T275" s="8">
        <f t="shared" si="11"/>
        <v>129.30000000000001</v>
      </c>
    </row>
    <row r="276" spans="1:20" x14ac:dyDescent="0.2">
      <c r="A276">
        <v>23</v>
      </c>
      <c r="B276" t="s">
        <v>56</v>
      </c>
      <c r="C276" t="s">
        <v>57</v>
      </c>
      <c r="D276" t="s">
        <v>644</v>
      </c>
      <c r="F276" t="s">
        <v>685</v>
      </c>
      <c r="G276" s="1">
        <v>29.9</v>
      </c>
      <c r="H276" t="s">
        <v>20</v>
      </c>
      <c r="I276" s="2">
        <v>236.23699999999999</v>
      </c>
      <c r="J276" s="4">
        <v>786170</v>
      </c>
      <c r="L276" s="5" t="s">
        <v>698</v>
      </c>
      <c r="N276" s="6" t="s">
        <v>699</v>
      </c>
      <c r="T276" s="8">
        <f t="shared" si="11"/>
        <v>129.9</v>
      </c>
    </row>
    <row r="277" spans="1:20" x14ac:dyDescent="0.2">
      <c r="A277">
        <v>24</v>
      </c>
      <c r="B277" t="s">
        <v>58</v>
      </c>
      <c r="C277" t="s">
        <v>59</v>
      </c>
      <c r="D277" t="s">
        <v>644</v>
      </c>
      <c r="F277" t="s">
        <v>685</v>
      </c>
      <c r="G277" s="1">
        <v>94.2</v>
      </c>
      <c r="H277" t="s">
        <v>20</v>
      </c>
      <c r="I277" s="2">
        <v>353.209</v>
      </c>
      <c r="J277" s="4">
        <v>1175439</v>
      </c>
      <c r="L277" s="5" t="s">
        <v>700</v>
      </c>
      <c r="N277" s="6" t="s">
        <v>701</v>
      </c>
      <c r="T277" s="8">
        <f t="shared" si="11"/>
        <v>194.2</v>
      </c>
    </row>
    <row r="278" spans="1:20" x14ac:dyDescent="0.2">
      <c r="A278">
        <v>25</v>
      </c>
      <c r="B278" t="s">
        <v>60</v>
      </c>
      <c r="C278" t="s">
        <v>61</v>
      </c>
      <c r="D278" t="s">
        <v>644</v>
      </c>
      <c r="F278" t="s">
        <v>685</v>
      </c>
      <c r="G278" s="1">
        <v>30.6</v>
      </c>
      <c r="H278" t="s">
        <v>20</v>
      </c>
      <c r="I278" s="2">
        <v>237.56299999999999</v>
      </c>
      <c r="J278" s="4">
        <v>790581</v>
      </c>
      <c r="L278" s="5" t="s">
        <v>702</v>
      </c>
      <c r="N278" s="6" t="s">
        <v>703</v>
      </c>
      <c r="T278" s="8">
        <f t="shared" si="11"/>
        <v>130.6</v>
      </c>
    </row>
    <row r="279" spans="1:20" x14ac:dyDescent="0.2">
      <c r="A279">
        <v>26</v>
      </c>
      <c r="B279" t="s">
        <v>62</v>
      </c>
      <c r="C279" t="s">
        <v>63</v>
      </c>
      <c r="D279" t="s">
        <v>644</v>
      </c>
      <c r="F279" t="s">
        <v>685</v>
      </c>
      <c r="G279" s="1">
        <v>26.3</v>
      </c>
      <c r="H279" t="s">
        <v>20</v>
      </c>
      <c r="I279" s="2">
        <v>229.684</v>
      </c>
      <c r="J279" s="4">
        <v>764360</v>
      </c>
      <c r="L279" s="5" t="s">
        <v>704</v>
      </c>
      <c r="N279" s="6" t="s">
        <v>705</v>
      </c>
      <c r="T279" s="8">
        <f t="shared" si="11"/>
        <v>126.3</v>
      </c>
    </row>
    <row r="280" spans="1:20" x14ac:dyDescent="0.2">
      <c r="A280">
        <v>27</v>
      </c>
      <c r="B280" t="s">
        <v>64</v>
      </c>
      <c r="C280" t="s">
        <v>65</v>
      </c>
      <c r="D280" t="s">
        <v>644</v>
      </c>
      <c r="F280" t="s">
        <v>685</v>
      </c>
      <c r="G280" s="1">
        <v>34.299999999999997</v>
      </c>
      <c r="H280" t="s">
        <v>20</v>
      </c>
      <c r="I280" s="2">
        <v>244.2</v>
      </c>
      <c r="J280" s="4">
        <v>812670</v>
      </c>
      <c r="L280" s="5" t="s">
        <v>706</v>
      </c>
      <c r="N280" s="6" t="s">
        <v>707</v>
      </c>
      <c r="T280" s="8">
        <f t="shared" si="11"/>
        <v>134.30000000000001</v>
      </c>
    </row>
    <row r="281" spans="1:20" x14ac:dyDescent="0.2">
      <c r="A281">
        <v>28</v>
      </c>
      <c r="B281" t="s">
        <v>66</v>
      </c>
      <c r="C281" t="s">
        <v>67</v>
      </c>
      <c r="D281" t="s">
        <v>644</v>
      </c>
      <c r="F281" t="s">
        <v>685</v>
      </c>
      <c r="G281" s="1">
        <v>34.299999999999997</v>
      </c>
      <c r="H281" t="s">
        <v>20</v>
      </c>
      <c r="I281" s="2">
        <v>244.29300000000001</v>
      </c>
      <c r="J281" s="4">
        <v>812977</v>
      </c>
      <c r="L281" s="5" t="s">
        <v>708</v>
      </c>
      <c r="N281" s="6" t="s">
        <v>709</v>
      </c>
      <c r="T281" s="8">
        <f t="shared" si="11"/>
        <v>134.30000000000001</v>
      </c>
    </row>
    <row r="282" spans="1:20" x14ac:dyDescent="0.2">
      <c r="A282">
        <v>29</v>
      </c>
      <c r="B282" t="s">
        <v>68</v>
      </c>
      <c r="C282" t="s">
        <v>69</v>
      </c>
      <c r="D282" t="s">
        <v>644</v>
      </c>
      <c r="F282" t="s">
        <v>685</v>
      </c>
      <c r="G282" s="1">
        <v>26.3</v>
      </c>
      <c r="H282" t="s">
        <v>20</v>
      </c>
      <c r="I282" s="2">
        <v>229.74100000000001</v>
      </c>
      <c r="J282" s="4">
        <v>764552</v>
      </c>
      <c r="L282" s="5" t="s">
        <v>710</v>
      </c>
      <c r="N282" s="6" t="s">
        <v>711</v>
      </c>
      <c r="T282" s="8">
        <f t="shared" si="11"/>
        <v>126.3</v>
      </c>
    </row>
    <row r="283" spans="1:20" x14ac:dyDescent="0.2">
      <c r="A283">
        <v>30</v>
      </c>
      <c r="B283" t="s">
        <v>70</v>
      </c>
      <c r="C283" t="s">
        <v>71</v>
      </c>
      <c r="D283" t="s">
        <v>644</v>
      </c>
      <c r="F283" t="s">
        <v>712</v>
      </c>
      <c r="G283" s="1">
        <v>24.4</v>
      </c>
      <c r="H283" t="s">
        <v>20</v>
      </c>
      <c r="I283" s="2">
        <v>452.34899999999999</v>
      </c>
      <c r="J283" s="4">
        <v>1505365</v>
      </c>
      <c r="L283" s="5" t="s">
        <v>713</v>
      </c>
      <c r="N283" s="6" t="s">
        <v>714</v>
      </c>
      <c r="T283" s="8">
        <f t="shared" si="11"/>
        <v>124.4</v>
      </c>
    </row>
    <row r="284" spans="1:20" x14ac:dyDescent="0.2">
      <c r="A284">
        <v>31</v>
      </c>
      <c r="B284" t="s">
        <v>72</v>
      </c>
      <c r="C284" t="s">
        <v>73</v>
      </c>
      <c r="D284" t="s">
        <v>644</v>
      </c>
      <c r="F284" t="s">
        <v>712</v>
      </c>
      <c r="G284" s="1">
        <v>13.7</v>
      </c>
      <c r="H284" t="s">
        <v>20</v>
      </c>
      <c r="I284" s="2">
        <v>413.459</v>
      </c>
      <c r="J284" s="4">
        <v>1375942</v>
      </c>
      <c r="L284" s="5" t="s">
        <v>715</v>
      </c>
      <c r="N284" s="6" t="s">
        <v>716</v>
      </c>
      <c r="T284" s="8">
        <f t="shared" si="11"/>
        <v>113.7</v>
      </c>
    </row>
    <row r="285" spans="1:20" x14ac:dyDescent="0.2">
      <c r="A285">
        <v>32</v>
      </c>
      <c r="B285" t="s">
        <v>74</v>
      </c>
      <c r="C285" t="s">
        <v>75</v>
      </c>
      <c r="D285" t="s">
        <v>644</v>
      </c>
      <c r="F285" t="s">
        <v>685</v>
      </c>
      <c r="G285" s="1">
        <v>35.4</v>
      </c>
      <c r="H285" t="s">
        <v>20</v>
      </c>
      <c r="I285" s="2">
        <v>246.23400000000001</v>
      </c>
      <c r="J285" s="4">
        <v>819437</v>
      </c>
      <c r="L285" s="5" t="s">
        <v>717</v>
      </c>
      <c r="N285" s="6" t="s">
        <v>718</v>
      </c>
      <c r="T285" s="8">
        <f t="shared" si="11"/>
        <v>135.4</v>
      </c>
    </row>
    <row r="286" spans="1:20" x14ac:dyDescent="0.2">
      <c r="A286">
        <v>33</v>
      </c>
      <c r="B286" t="s">
        <v>76</v>
      </c>
      <c r="C286" t="s">
        <v>77</v>
      </c>
      <c r="D286" t="s">
        <v>644</v>
      </c>
      <c r="F286" t="s">
        <v>685</v>
      </c>
      <c r="G286" s="1">
        <v>30.6</v>
      </c>
      <c r="H286" t="s">
        <v>20</v>
      </c>
      <c r="I286" s="2">
        <v>237.46100000000001</v>
      </c>
      <c r="J286" s="4">
        <v>790241</v>
      </c>
      <c r="L286" s="5" t="s">
        <v>719</v>
      </c>
      <c r="N286" s="6" t="s">
        <v>720</v>
      </c>
      <c r="T286" s="8">
        <f t="shared" si="11"/>
        <v>130.6</v>
      </c>
    </row>
    <row r="287" spans="1:20" x14ac:dyDescent="0.2">
      <c r="A287">
        <v>34</v>
      </c>
      <c r="B287" t="s">
        <v>78</v>
      </c>
      <c r="C287" t="s">
        <v>79</v>
      </c>
      <c r="D287" t="s">
        <v>644</v>
      </c>
      <c r="F287" t="s">
        <v>685</v>
      </c>
      <c r="G287" s="1">
        <v>27.6</v>
      </c>
      <c r="H287" t="s">
        <v>20</v>
      </c>
      <c r="I287" s="2">
        <v>232</v>
      </c>
      <c r="J287" s="4">
        <v>772067</v>
      </c>
      <c r="L287" s="5" t="s">
        <v>721</v>
      </c>
      <c r="N287" s="6" t="s">
        <v>722</v>
      </c>
      <c r="T287" s="8">
        <f t="shared" si="11"/>
        <v>127.6</v>
      </c>
    </row>
    <row r="288" spans="1:20" x14ac:dyDescent="0.2">
      <c r="A288">
        <v>35</v>
      </c>
      <c r="B288" t="s">
        <v>80</v>
      </c>
      <c r="C288" t="s">
        <v>81</v>
      </c>
      <c r="D288" t="s">
        <v>644</v>
      </c>
      <c r="F288" t="s">
        <v>685</v>
      </c>
      <c r="G288" s="1">
        <v>82.4</v>
      </c>
      <c r="H288" t="s">
        <v>20</v>
      </c>
      <c r="I288" s="2">
        <v>331.80599999999998</v>
      </c>
      <c r="J288" s="4">
        <v>1104210</v>
      </c>
      <c r="L288" s="5" t="s">
        <v>723</v>
      </c>
      <c r="N288" s="6" t="s">
        <v>724</v>
      </c>
      <c r="T288" s="8">
        <f t="shared" si="11"/>
        <v>182.4</v>
      </c>
    </row>
    <row r="289" spans="1:20" x14ac:dyDescent="0.2">
      <c r="A289">
        <v>36</v>
      </c>
      <c r="B289" t="s">
        <v>82</v>
      </c>
      <c r="C289" t="s">
        <v>83</v>
      </c>
      <c r="D289" t="s">
        <v>644</v>
      </c>
      <c r="F289" t="s">
        <v>685</v>
      </c>
      <c r="G289" s="1">
        <v>29.7</v>
      </c>
      <c r="H289" t="s">
        <v>20</v>
      </c>
      <c r="I289" s="2">
        <v>235.97</v>
      </c>
      <c r="J289" s="4">
        <v>785282</v>
      </c>
      <c r="L289" s="5" t="s">
        <v>725</v>
      </c>
      <c r="N289" s="6" t="s">
        <v>726</v>
      </c>
      <c r="T289" s="8">
        <f t="shared" si="11"/>
        <v>129.69999999999999</v>
      </c>
    </row>
    <row r="290" spans="1:20" x14ac:dyDescent="0.2">
      <c r="A290">
        <v>37</v>
      </c>
      <c r="B290" t="s">
        <v>84</v>
      </c>
      <c r="C290" t="s">
        <v>85</v>
      </c>
      <c r="D290" t="s">
        <v>644</v>
      </c>
      <c r="F290" t="s">
        <v>685</v>
      </c>
      <c r="G290" s="1">
        <v>39.799999999999997</v>
      </c>
      <c r="H290" t="s">
        <v>20</v>
      </c>
      <c r="I290" s="2">
        <v>254.345</v>
      </c>
      <c r="J290" s="4">
        <v>846431</v>
      </c>
      <c r="L290" s="5" t="s">
        <v>727</v>
      </c>
      <c r="N290" s="6" t="s">
        <v>728</v>
      </c>
      <c r="T290" s="8">
        <f t="shared" si="11"/>
        <v>139.80000000000001</v>
      </c>
    </row>
    <row r="291" spans="1:20" x14ac:dyDescent="0.2">
      <c r="A291">
        <v>38</v>
      </c>
      <c r="B291" t="s">
        <v>86</v>
      </c>
      <c r="C291" t="s">
        <v>87</v>
      </c>
      <c r="D291" t="s">
        <v>644</v>
      </c>
      <c r="F291" t="s">
        <v>685</v>
      </c>
      <c r="G291" s="1">
        <v>29.1</v>
      </c>
      <c r="H291" t="s">
        <v>20</v>
      </c>
      <c r="I291" s="2">
        <v>234.77799999999999</v>
      </c>
      <c r="J291" s="4">
        <v>781313</v>
      </c>
      <c r="L291" s="5" t="s">
        <v>729</v>
      </c>
      <c r="N291" s="6" t="s">
        <v>730</v>
      </c>
      <c r="T291" s="8">
        <f t="shared" si="11"/>
        <v>129.1</v>
      </c>
    </row>
    <row r="292" spans="1:20" x14ac:dyDescent="0.2">
      <c r="A292">
        <v>39</v>
      </c>
      <c r="B292" t="s">
        <v>88</v>
      </c>
      <c r="C292" t="s">
        <v>89</v>
      </c>
      <c r="D292" t="s">
        <v>644</v>
      </c>
      <c r="F292" t="s">
        <v>731</v>
      </c>
      <c r="G292" s="1">
        <v>54.5</v>
      </c>
      <c r="H292" t="s">
        <v>20</v>
      </c>
      <c r="I292" s="2">
        <v>56.204000000000001</v>
      </c>
      <c r="J292" s="4">
        <v>187042</v>
      </c>
      <c r="L292" s="5" t="s">
        <v>732</v>
      </c>
      <c r="N292" s="6" t="s">
        <v>733</v>
      </c>
      <c r="T292" s="8">
        <f t="shared" si="11"/>
        <v>154.5</v>
      </c>
    </row>
    <row r="293" spans="1:20" x14ac:dyDescent="0.2">
      <c r="A293">
        <v>40</v>
      </c>
      <c r="B293" t="s">
        <v>90</v>
      </c>
      <c r="T293" s="8"/>
    </row>
    <row r="294" spans="1:20" x14ac:dyDescent="0.2">
      <c r="A294">
        <v>41</v>
      </c>
      <c r="B294" t="s">
        <v>91</v>
      </c>
      <c r="T294" s="8"/>
    </row>
    <row r="295" spans="1:20" x14ac:dyDescent="0.2">
      <c r="A295">
        <v>42</v>
      </c>
      <c r="B295" t="s">
        <v>92</v>
      </c>
      <c r="C295" t="s">
        <v>89</v>
      </c>
      <c r="D295" t="s">
        <v>644</v>
      </c>
      <c r="F295" t="s">
        <v>685</v>
      </c>
      <c r="G295" s="1">
        <v>19.899999999999999</v>
      </c>
      <c r="H295" t="s">
        <v>20</v>
      </c>
      <c r="I295" s="2">
        <v>218.00299999999999</v>
      </c>
      <c r="J295" s="4">
        <v>725488</v>
      </c>
      <c r="L295" s="5" t="s">
        <v>734</v>
      </c>
      <c r="N295" s="6" t="s">
        <v>735</v>
      </c>
      <c r="T295" s="11">
        <f t="shared" ref="T295:T315" si="12">100+G295</f>
        <v>119.9</v>
      </c>
    </row>
    <row r="296" spans="1:20" x14ac:dyDescent="0.2">
      <c r="A296">
        <v>43</v>
      </c>
      <c r="B296" t="s">
        <v>94</v>
      </c>
      <c r="C296" t="s">
        <v>81</v>
      </c>
      <c r="D296" t="s">
        <v>644</v>
      </c>
      <c r="F296" t="s">
        <v>736</v>
      </c>
      <c r="G296" s="1">
        <v>-52.8</v>
      </c>
      <c r="H296" t="s">
        <v>20</v>
      </c>
      <c r="I296" s="2">
        <v>1715.19</v>
      </c>
      <c r="J296" s="4">
        <v>5707950</v>
      </c>
      <c r="L296" s="5" t="s">
        <v>737</v>
      </c>
      <c r="N296" s="6" t="s">
        <v>738</v>
      </c>
      <c r="T296" s="11">
        <f t="shared" si="12"/>
        <v>47.2</v>
      </c>
    </row>
    <row r="297" spans="1:20" x14ac:dyDescent="0.2">
      <c r="A297">
        <v>44</v>
      </c>
      <c r="B297" t="s">
        <v>95</v>
      </c>
      <c r="C297" t="s">
        <v>83</v>
      </c>
      <c r="D297" t="s">
        <v>644</v>
      </c>
      <c r="F297" t="s">
        <v>736</v>
      </c>
      <c r="G297" s="1">
        <v>-53</v>
      </c>
      <c r="H297" t="s">
        <v>20</v>
      </c>
      <c r="I297" s="2">
        <v>1707.951</v>
      </c>
      <c r="J297" s="4">
        <v>5683858</v>
      </c>
      <c r="L297" s="5" t="s">
        <v>739</v>
      </c>
      <c r="N297" s="6" t="s">
        <v>740</v>
      </c>
      <c r="T297" s="11">
        <f t="shared" si="12"/>
        <v>47</v>
      </c>
    </row>
    <row r="298" spans="1:20" x14ac:dyDescent="0.2">
      <c r="A298">
        <v>45</v>
      </c>
      <c r="B298" t="s">
        <v>96</v>
      </c>
      <c r="C298" t="s">
        <v>85</v>
      </c>
      <c r="D298" t="s">
        <v>741</v>
      </c>
      <c r="F298" t="s">
        <v>736</v>
      </c>
      <c r="G298" s="1">
        <v>-69.3</v>
      </c>
      <c r="H298" t="s">
        <v>20</v>
      </c>
      <c r="I298" s="2">
        <v>1115.307</v>
      </c>
      <c r="J298" s="4">
        <v>3711609</v>
      </c>
      <c r="L298" s="5" t="s">
        <v>742</v>
      </c>
      <c r="N298" s="6" t="s">
        <v>743</v>
      </c>
      <c r="T298" s="11">
        <f t="shared" si="12"/>
        <v>30.700000000000003</v>
      </c>
    </row>
    <row r="299" spans="1:20" x14ac:dyDescent="0.2">
      <c r="A299">
        <v>46</v>
      </c>
      <c r="B299" t="s">
        <v>97</v>
      </c>
      <c r="C299" t="s">
        <v>87</v>
      </c>
      <c r="D299" t="s">
        <v>644</v>
      </c>
      <c r="F299" t="s">
        <v>736</v>
      </c>
      <c r="G299" s="1">
        <v>-65.900000000000006</v>
      </c>
      <c r="H299" t="s">
        <v>20</v>
      </c>
      <c r="I299" s="2">
        <v>1240.856</v>
      </c>
      <c r="J299" s="4">
        <v>4129421</v>
      </c>
      <c r="L299" s="5" t="s">
        <v>744</v>
      </c>
      <c r="N299" s="6" t="s">
        <v>745</v>
      </c>
      <c r="T299" s="11">
        <f t="shared" si="12"/>
        <v>34.099999999999994</v>
      </c>
    </row>
    <row r="300" spans="1:20" x14ac:dyDescent="0.2">
      <c r="A300">
        <v>47</v>
      </c>
      <c r="B300" t="s">
        <v>98</v>
      </c>
      <c r="C300" t="s">
        <v>73</v>
      </c>
      <c r="D300" t="s">
        <v>640</v>
      </c>
      <c r="F300" t="s">
        <v>746</v>
      </c>
      <c r="G300" s="1">
        <v>-54.2</v>
      </c>
      <c r="H300" t="s">
        <v>20</v>
      </c>
      <c r="I300" s="2">
        <v>3335.248</v>
      </c>
      <c r="J300" s="4">
        <v>11099310</v>
      </c>
      <c r="L300" s="5" t="s">
        <v>747</v>
      </c>
      <c r="N300" s="6" t="s">
        <v>748</v>
      </c>
      <c r="T300" s="11">
        <f t="shared" si="12"/>
        <v>45.8</v>
      </c>
    </row>
    <row r="301" spans="1:20" x14ac:dyDescent="0.2">
      <c r="A301">
        <v>48</v>
      </c>
      <c r="B301" t="s">
        <v>99</v>
      </c>
      <c r="C301" t="s">
        <v>75</v>
      </c>
      <c r="D301" t="s">
        <v>640</v>
      </c>
      <c r="F301" t="s">
        <v>736</v>
      </c>
      <c r="G301" s="1">
        <v>-57.7</v>
      </c>
      <c r="H301" t="s">
        <v>20</v>
      </c>
      <c r="I301" s="2">
        <v>1538.6110000000001</v>
      </c>
      <c r="J301" s="4">
        <v>5120316</v>
      </c>
      <c r="L301" s="5" t="s">
        <v>749</v>
      </c>
      <c r="N301" s="6" t="s">
        <v>750</v>
      </c>
      <c r="T301" s="11">
        <f t="shared" si="12"/>
        <v>42.3</v>
      </c>
    </row>
    <row r="302" spans="1:20" x14ac:dyDescent="0.2">
      <c r="A302">
        <v>49</v>
      </c>
      <c r="B302" t="s">
        <v>100</v>
      </c>
      <c r="C302" t="s">
        <v>77</v>
      </c>
      <c r="D302" t="s">
        <v>640</v>
      </c>
      <c r="F302" t="s">
        <v>736</v>
      </c>
      <c r="G302" s="1">
        <v>-53.9</v>
      </c>
      <c r="H302" t="s">
        <v>20</v>
      </c>
      <c r="I302" s="2">
        <v>1678.402</v>
      </c>
      <c r="J302" s="4">
        <v>5585522</v>
      </c>
      <c r="L302" s="5" t="s">
        <v>751</v>
      </c>
      <c r="N302" s="6" t="s">
        <v>752</v>
      </c>
      <c r="T302" s="11">
        <f t="shared" si="12"/>
        <v>46.1</v>
      </c>
    </row>
    <row r="303" spans="1:20" x14ac:dyDescent="0.2">
      <c r="A303">
        <v>50</v>
      </c>
      <c r="B303" t="s">
        <v>101</v>
      </c>
      <c r="C303" t="s">
        <v>79</v>
      </c>
      <c r="D303" t="s">
        <v>644</v>
      </c>
      <c r="F303" t="s">
        <v>736</v>
      </c>
      <c r="G303" s="1">
        <v>-55.3</v>
      </c>
      <c r="H303" t="s">
        <v>20</v>
      </c>
      <c r="I303" s="2">
        <v>1626.8030000000001</v>
      </c>
      <c r="J303" s="4">
        <v>5413806</v>
      </c>
      <c r="L303" s="5" t="s">
        <v>753</v>
      </c>
      <c r="N303" s="6" t="s">
        <v>754</v>
      </c>
      <c r="T303" s="11">
        <f t="shared" si="12"/>
        <v>44.7</v>
      </c>
    </row>
    <row r="304" spans="1:20" x14ac:dyDescent="0.2">
      <c r="A304">
        <v>51</v>
      </c>
      <c r="B304" t="s">
        <v>102</v>
      </c>
      <c r="C304" t="s">
        <v>65</v>
      </c>
      <c r="D304" t="s">
        <v>644</v>
      </c>
      <c r="F304" t="s">
        <v>736</v>
      </c>
      <c r="G304" s="1">
        <v>-49.6</v>
      </c>
      <c r="H304" t="s">
        <v>20</v>
      </c>
      <c r="I304" s="2">
        <v>1831.8630000000001</v>
      </c>
      <c r="J304" s="4">
        <v>6096222</v>
      </c>
      <c r="L304" s="5" t="s">
        <v>755</v>
      </c>
      <c r="N304" s="6" t="s">
        <v>756</v>
      </c>
      <c r="T304" s="11">
        <f t="shared" si="12"/>
        <v>50.4</v>
      </c>
    </row>
    <row r="305" spans="1:20" x14ac:dyDescent="0.2">
      <c r="A305">
        <v>52</v>
      </c>
      <c r="B305" t="s">
        <v>103</v>
      </c>
      <c r="C305" t="s">
        <v>67</v>
      </c>
      <c r="D305" t="s">
        <v>644</v>
      </c>
      <c r="F305" t="s">
        <v>736</v>
      </c>
      <c r="G305" s="1">
        <v>-48.3</v>
      </c>
      <c r="H305" t="s">
        <v>20</v>
      </c>
      <c r="I305" s="2">
        <v>1880.963</v>
      </c>
      <c r="J305" s="4">
        <v>6259623</v>
      </c>
      <c r="L305" s="5" t="s">
        <v>757</v>
      </c>
      <c r="N305" s="6" t="s">
        <v>758</v>
      </c>
      <c r="T305" s="11">
        <f t="shared" si="12"/>
        <v>51.7</v>
      </c>
    </row>
    <row r="306" spans="1:20" x14ac:dyDescent="0.2">
      <c r="A306">
        <v>53</v>
      </c>
      <c r="B306" t="s">
        <v>104</v>
      </c>
      <c r="C306" t="s">
        <v>69</v>
      </c>
      <c r="D306" t="s">
        <v>644</v>
      </c>
      <c r="F306" t="s">
        <v>736</v>
      </c>
      <c r="G306" s="1">
        <v>-56.5</v>
      </c>
      <c r="H306" t="s">
        <v>20</v>
      </c>
      <c r="I306" s="2">
        <v>1581.806</v>
      </c>
      <c r="J306" s="4">
        <v>5264062</v>
      </c>
      <c r="L306" s="5" t="s">
        <v>759</v>
      </c>
      <c r="N306" s="6" t="s">
        <v>760</v>
      </c>
      <c r="T306" s="11">
        <f t="shared" si="12"/>
        <v>43.5</v>
      </c>
    </row>
    <row r="307" spans="1:20" x14ac:dyDescent="0.2">
      <c r="A307">
        <v>54</v>
      </c>
      <c r="B307" t="s">
        <v>105</v>
      </c>
      <c r="C307" t="s">
        <v>71</v>
      </c>
      <c r="D307" t="s">
        <v>640</v>
      </c>
      <c r="F307" t="s">
        <v>746</v>
      </c>
      <c r="G307" s="1">
        <v>-54.4</v>
      </c>
      <c r="H307" t="s">
        <v>20</v>
      </c>
      <c r="I307" s="2">
        <v>3319.7890000000002</v>
      </c>
      <c r="J307" s="4">
        <v>11047863</v>
      </c>
      <c r="L307" s="5" t="s">
        <v>761</v>
      </c>
      <c r="N307" s="6" t="s">
        <v>762</v>
      </c>
      <c r="T307" s="11">
        <f t="shared" si="12"/>
        <v>45.6</v>
      </c>
    </row>
    <row r="308" spans="1:20" x14ac:dyDescent="0.2">
      <c r="A308">
        <v>55</v>
      </c>
      <c r="B308" t="s">
        <v>106</v>
      </c>
      <c r="C308" t="s">
        <v>57</v>
      </c>
      <c r="D308" t="s">
        <v>644</v>
      </c>
      <c r="F308" t="s">
        <v>736</v>
      </c>
      <c r="G308" s="1">
        <v>-50.8</v>
      </c>
      <c r="H308" t="s">
        <v>20</v>
      </c>
      <c r="I308" s="2">
        <v>1790.2919999999999</v>
      </c>
      <c r="J308" s="4">
        <v>5957879</v>
      </c>
      <c r="L308" s="5" t="s">
        <v>763</v>
      </c>
      <c r="N308" s="6" t="s">
        <v>764</v>
      </c>
      <c r="T308" s="11">
        <f t="shared" si="12"/>
        <v>49.2</v>
      </c>
    </row>
    <row r="309" spans="1:20" x14ac:dyDescent="0.2">
      <c r="A309">
        <v>56</v>
      </c>
      <c r="B309" t="s">
        <v>107</v>
      </c>
      <c r="C309" t="s">
        <v>59</v>
      </c>
      <c r="D309" t="s">
        <v>640</v>
      </c>
      <c r="F309" t="s">
        <v>736</v>
      </c>
      <c r="G309" s="1">
        <v>-54.4</v>
      </c>
      <c r="H309" t="s">
        <v>20</v>
      </c>
      <c r="I309" s="2">
        <v>1658.3920000000001</v>
      </c>
      <c r="J309" s="4">
        <v>5518933</v>
      </c>
      <c r="L309" s="5" t="s">
        <v>765</v>
      </c>
      <c r="N309" s="6" t="s">
        <v>766</v>
      </c>
      <c r="T309" s="11">
        <f t="shared" si="12"/>
        <v>45.6</v>
      </c>
    </row>
    <row r="310" spans="1:20" x14ac:dyDescent="0.2">
      <c r="A310">
        <v>57</v>
      </c>
      <c r="B310" t="s">
        <v>108</v>
      </c>
      <c r="C310" t="s">
        <v>61</v>
      </c>
      <c r="D310" t="s">
        <v>644</v>
      </c>
      <c r="F310" t="s">
        <v>736</v>
      </c>
      <c r="G310" s="1">
        <v>-58.1</v>
      </c>
      <c r="H310" t="s">
        <v>20</v>
      </c>
      <c r="I310" s="2">
        <v>1523.473</v>
      </c>
      <c r="J310" s="4">
        <v>5069938</v>
      </c>
      <c r="L310" s="5" t="s">
        <v>767</v>
      </c>
      <c r="N310" s="6" t="s">
        <v>768</v>
      </c>
      <c r="T310" s="11">
        <f t="shared" si="12"/>
        <v>41.9</v>
      </c>
    </row>
    <row r="311" spans="1:20" x14ac:dyDescent="0.2">
      <c r="A311">
        <v>58</v>
      </c>
      <c r="B311" t="s">
        <v>109</v>
      </c>
      <c r="C311" t="s">
        <v>63</v>
      </c>
      <c r="D311" t="s">
        <v>644</v>
      </c>
      <c r="F311" t="s">
        <v>736</v>
      </c>
      <c r="G311" s="1">
        <v>-54.9</v>
      </c>
      <c r="H311" t="s">
        <v>20</v>
      </c>
      <c r="I311" s="2">
        <v>1639.91</v>
      </c>
      <c r="J311" s="4">
        <v>5457427</v>
      </c>
      <c r="L311" s="5" t="s">
        <v>769</v>
      </c>
      <c r="N311" s="6" t="s">
        <v>770</v>
      </c>
      <c r="T311" s="11">
        <f t="shared" si="12"/>
        <v>45.1</v>
      </c>
    </row>
    <row r="312" spans="1:20" x14ac:dyDescent="0.2">
      <c r="A312">
        <v>59</v>
      </c>
      <c r="B312" t="s">
        <v>110</v>
      </c>
      <c r="C312" t="s">
        <v>49</v>
      </c>
      <c r="D312" t="s">
        <v>644</v>
      </c>
      <c r="F312" t="s">
        <v>736</v>
      </c>
      <c r="G312" s="1">
        <v>-51.7</v>
      </c>
      <c r="H312" t="s">
        <v>20</v>
      </c>
      <c r="I312" s="2">
        <v>1756.4290000000001</v>
      </c>
      <c r="J312" s="4">
        <v>5845189</v>
      </c>
      <c r="L312" s="5" t="s">
        <v>771</v>
      </c>
      <c r="N312" s="6" t="s">
        <v>772</v>
      </c>
      <c r="T312" s="11">
        <f t="shared" si="12"/>
        <v>48.3</v>
      </c>
    </row>
    <row r="313" spans="1:20" x14ac:dyDescent="0.2">
      <c r="A313">
        <v>60</v>
      </c>
      <c r="B313" t="s">
        <v>111</v>
      </c>
      <c r="C313" t="s">
        <v>51</v>
      </c>
      <c r="D313" t="s">
        <v>640</v>
      </c>
      <c r="F313" t="s">
        <v>736</v>
      </c>
      <c r="G313" s="1">
        <v>-52.8</v>
      </c>
      <c r="H313" t="s">
        <v>20</v>
      </c>
      <c r="I313" s="2">
        <v>1715.453</v>
      </c>
      <c r="J313" s="4">
        <v>5708824</v>
      </c>
      <c r="L313" s="5" t="s">
        <v>773</v>
      </c>
      <c r="N313" s="6" t="s">
        <v>774</v>
      </c>
      <c r="T313" s="11">
        <f t="shared" si="12"/>
        <v>47.2</v>
      </c>
    </row>
    <row r="314" spans="1:20" x14ac:dyDescent="0.2">
      <c r="A314">
        <v>61</v>
      </c>
      <c r="B314" t="s">
        <v>112</v>
      </c>
      <c r="C314" t="s">
        <v>53</v>
      </c>
      <c r="D314" t="s">
        <v>644</v>
      </c>
      <c r="F314" t="s">
        <v>736</v>
      </c>
      <c r="G314" s="1">
        <v>-48</v>
      </c>
      <c r="H314" t="s">
        <v>20</v>
      </c>
      <c r="I314" s="2">
        <v>1891.2829999999999</v>
      </c>
      <c r="J314" s="4">
        <v>6293967</v>
      </c>
      <c r="L314" s="5" t="s">
        <v>775</v>
      </c>
      <c r="N314" s="6" t="s">
        <v>776</v>
      </c>
      <c r="T314" s="11">
        <f t="shared" si="12"/>
        <v>52</v>
      </c>
    </row>
    <row r="315" spans="1:20" x14ac:dyDescent="0.2">
      <c r="A315">
        <v>62</v>
      </c>
      <c r="B315" t="s">
        <v>113</v>
      </c>
      <c r="C315" t="s">
        <v>55</v>
      </c>
      <c r="D315" t="s">
        <v>640</v>
      </c>
      <c r="F315" t="s">
        <v>736</v>
      </c>
      <c r="G315" s="1">
        <v>-66.3</v>
      </c>
      <c r="H315" t="s">
        <v>20</v>
      </c>
      <c r="I315" s="2">
        <v>1225.0419999999999</v>
      </c>
      <c r="J315" s="4">
        <v>4076793</v>
      </c>
      <c r="L315" s="5" t="s">
        <v>777</v>
      </c>
      <c r="N315" s="6" t="s">
        <v>778</v>
      </c>
      <c r="T315" s="11">
        <f t="shared" si="12"/>
        <v>33.700000000000003</v>
      </c>
    </row>
    <row r="316" spans="1:20" x14ac:dyDescent="0.2">
      <c r="A316">
        <v>63</v>
      </c>
      <c r="B316" t="s">
        <v>114</v>
      </c>
      <c r="D316" t="s">
        <v>640</v>
      </c>
      <c r="H316" t="s">
        <v>119</v>
      </c>
      <c r="I316" s="2">
        <v>0.20300000000000001</v>
      </c>
      <c r="J316" s="4">
        <v>677</v>
      </c>
      <c r="L316" s="5" t="s">
        <v>779</v>
      </c>
      <c r="N316" s="6" t="s">
        <v>780</v>
      </c>
    </row>
    <row r="317" spans="1:20" x14ac:dyDescent="0.2">
      <c r="A317">
        <v>64</v>
      </c>
      <c r="B317" t="s">
        <v>115</v>
      </c>
    </row>
    <row r="318" spans="1:20" x14ac:dyDescent="0.2">
      <c r="A318">
        <v>65</v>
      </c>
      <c r="B318" t="s">
        <v>116</v>
      </c>
    </row>
    <row r="319" spans="1:20" x14ac:dyDescent="0.2">
      <c r="A319">
        <v>66</v>
      </c>
      <c r="B319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1"/>
  <sheetViews>
    <sheetView tabSelected="1" zoomScale="162" workbookViewId="0">
      <selection activeCell="E22" sqref="E22"/>
    </sheetView>
  </sheetViews>
  <sheetFormatPr baseColWidth="10" defaultRowHeight="15" x14ac:dyDescent="0.2"/>
  <cols>
    <col min="1" max="1" width="21.1640625" style="1" customWidth="1"/>
    <col min="2" max="3" width="16.83203125" customWidth="1"/>
  </cols>
  <sheetData>
    <row r="1" spans="1:3" x14ac:dyDescent="0.2">
      <c r="B1" s="14" t="s">
        <v>801</v>
      </c>
      <c r="C1" s="14"/>
    </row>
    <row r="2" spans="1:3" x14ac:dyDescent="0.2">
      <c r="B2" s="2" t="s">
        <v>802</v>
      </c>
      <c r="C2" s="2" t="s">
        <v>803</v>
      </c>
    </row>
    <row r="3" spans="1:3" x14ac:dyDescent="0.2">
      <c r="A3" s="1" t="s">
        <v>804</v>
      </c>
      <c r="B3" s="10">
        <f>'260212_these Lisa_VDT_MIX sprin'!T33</f>
        <v>46.842336098731572</v>
      </c>
      <c r="C3" s="10">
        <f>'260212_these Lisa_VDT_MIX sprin'!T191</f>
        <v>4.1249853959547478</v>
      </c>
    </row>
    <row r="4" spans="1:3" x14ac:dyDescent="0.2">
      <c r="A4" s="1" t="s">
        <v>805</v>
      </c>
      <c r="B4" s="10">
        <f>'260212_these Lisa_VDT_MIX sprin'!T34</f>
        <v>22.425812154696136</v>
      </c>
      <c r="C4" s="10">
        <f>'260212_these Lisa_VDT_MIX sprin'!T192</f>
        <v>3.454469678258044</v>
      </c>
    </row>
    <row r="5" spans="1:3" ht="7.5" customHeight="1" x14ac:dyDescent="0.2">
      <c r="B5" s="10"/>
      <c r="C5" s="10"/>
    </row>
    <row r="6" spans="1:3" x14ac:dyDescent="0.2">
      <c r="A6" s="1" t="s">
        <v>806</v>
      </c>
      <c r="B6" s="10">
        <f>'260212_these Lisa_VDT_MIX sprin'!T35</f>
        <v>132.82311823647294</v>
      </c>
      <c r="C6" s="10">
        <f>'260212_these Lisa_VDT_MIX sprin'!T233</f>
        <v>506.18955030060124</v>
      </c>
    </row>
    <row r="7" spans="1:3" x14ac:dyDescent="0.2">
      <c r="A7" s="1" t="s">
        <v>807</v>
      </c>
      <c r="B7" s="10">
        <f>'260212_these Lisa_VDT_MIX sprin'!T36</f>
        <v>120.11421421285279</v>
      </c>
      <c r="C7" s="10">
        <f>'260212_these Lisa_VDT_MIX sprin'!T234</f>
        <v>558.14441128867736</v>
      </c>
    </row>
    <row r="8" spans="1:3" x14ac:dyDescent="0.2">
      <c r="A8" s="1" t="s">
        <v>808</v>
      </c>
      <c r="B8" s="10">
        <f>'260212_these Lisa_VDT_MIX sprin'!T37</f>
        <v>266.28485639686681</v>
      </c>
      <c r="C8" s="10">
        <f>'260212_these Lisa_VDT_MIX sprin'!T235</f>
        <v>482.37111540469971</v>
      </c>
    </row>
    <row r="9" spans="1:3" x14ac:dyDescent="0.2">
      <c r="A9" s="1" t="s">
        <v>809</v>
      </c>
      <c r="B9" s="10">
        <f>'260212_these Lisa_VDT_MIX sprin'!T38</f>
        <v>404.55496677966102</v>
      </c>
      <c r="C9" s="10">
        <f>'260212_these Lisa_VDT_MIX sprin'!T236</f>
        <v>452.06421803389833</v>
      </c>
    </row>
    <row r="10" spans="1:3" ht="9" customHeight="1" x14ac:dyDescent="0.2">
      <c r="B10" s="10"/>
      <c r="C10" s="10"/>
    </row>
    <row r="11" spans="1:3" x14ac:dyDescent="0.2">
      <c r="A11" s="1" t="s">
        <v>810</v>
      </c>
      <c r="B11" s="10">
        <f>'260212_these Lisa_VDT_MIX sprin'!T39</f>
        <v>629.94618556701028</v>
      </c>
      <c r="C11" s="10">
        <f>'260212_these Lisa_VDT_MIX sprin'!T229</f>
        <v>468.05895927835053</v>
      </c>
    </row>
    <row r="12" spans="1:3" x14ac:dyDescent="0.2">
      <c r="A12" s="1" t="s">
        <v>811</v>
      </c>
      <c r="B12" s="10">
        <f>'260212_these Lisa_VDT_MIX sprin'!T40</f>
        <v>833.79562886597944</v>
      </c>
      <c r="C12" s="10">
        <f>'260212_these Lisa_VDT_MIX sprin'!T230</f>
        <v>541.07244278350538</v>
      </c>
    </row>
    <row r="13" spans="1:3" x14ac:dyDescent="0.2">
      <c r="A13" s="1" t="s">
        <v>812</v>
      </c>
      <c r="B13" s="10">
        <f>'260212_these Lisa_VDT_MIX sprin'!T41</f>
        <v>560.72743706640244</v>
      </c>
      <c r="C13" s="10">
        <f>'260212_these Lisa_VDT_MIX sprin'!T231</f>
        <v>283.47103587710603</v>
      </c>
    </row>
    <row r="14" spans="1:3" x14ac:dyDescent="0.2">
      <c r="A14" s="1" t="s">
        <v>813</v>
      </c>
      <c r="B14" s="10">
        <f>'260212_these Lisa_VDT_MIX sprin'!T42</f>
        <v>653.23081204013374</v>
      </c>
      <c r="C14" s="10">
        <f>'260212_these Lisa_VDT_MIX sprin'!T232</f>
        <v>327.80014073578604</v>
      </c>
    </row>
    <row r="15" spans="1:3" ht="7.5" customHeight="1" x14ac:dyDescent="0.2">
      <c r="B15" s="10"/>
      <c r="C15" s="10"/>
    </row>
    <row r="16" spans="1:3" x14ac:dyDescent="0.2">
      <c r="A16" s="1" t="s">
        <v>814</v>
      </c>
      <c r="B16" s="10">
        <f>'260212_these Lisa_VDT_MIX sprin'!T43</f>
        <v>13533.302723092302</v>
      </c>
      <c r="C16" s="10">
        <f>'260212_these Lisa_VDT_MIX sprin'!T225</f>
        <v>326.8617372875708</v>
      </c>
    </row>
    <row r="17" spans="1:3" x14ac:dyDescent="0.2">
      <c r="A17" s="1" t="s">
        <v>815</v>
      </c>
      <c r="B17" s="10">
        <f>'260212_these Lisa_VDT_MIX sprin'!T44</f>
        <v>18465.343553133513</v>
      </c>
      <c r="C17" s="10">
        <f>'260212_these Lisa_VDT_MIX sprin'!T226</f>
        <v>310.08958528610356</v>
      </c>
    </row>
    <row r="18" spans="1:3" x14ac:dyDescent="0.2">
      <c r="A18" s="1" t="s">
        <v>816</v>
      </c>
      <c r="B18" s="10">
        <f>'260212_these Lisa_VDT_MIX sprin'!T45</f>
        <v>1219.9580033057848</v>
      </c>
      <c r="C18" s="10">
        <f>'260212_these Lisa_VDT_MIX sprin'!T227</f>
        <v>330.50956165289261</v>
      </c>
    </row>
    <row r="19" spans="1:3" x14ac:dyDescent="0.2">
      <c r="A19" s="1" t="s">
        <v>817</v>
      </c>
      <c r="B19" s="10">
        <f>'260212_these Lisa_VDT_MIX sprin'!T46</f>
        <v>681.62693547351535</v>
      </c>
      <c r="C19" s="10">
        <f>'260212_these Lisa_VDT_MIX sprin'!T228</f>
        <v>244.66803313001608</v>
      </c>
    </row>
    <row r="20" spans="1:3" ht="6" customHeight="1" x14ac:dyDescent="0.2">
      <c r="B20" s="10"/>
      <c r="C20" s="10"/>
    </row>
    <row r="21" spans="1:3" x14ac:dyDescent="0.2">
      <c r="A21" s="1" t="s">
        <v>818</v>
      </c>
      <c r="B21" s="10">
        <f>'260212_these Lisa_VDT_MIX sprin'!T47</f>
        <v>1938.0576419213976</v>
      </c>
      <c r="C21" s="10">
        <f>'260212_these Lisa_VDT_MIX sprin'!T221</f>
        <v>155.68325159556602</v>
      </c>
    </row>
    <row r="22" spans="1:3" x14ac:dyDescent="0.2">
      <c r="A22" s="1" t="s">
        <v>819</v>
      </c>
      <c r="B22" s="10">
        <f>'260212_these Lisa_VDT_MIX sprin'!T48</f>
        <v>2168.2444889036101</v>
      </c>
      <c r="C22" s="10">
        <f>'260212_these Lisa_VDT_MIX sprin'!T222</f>
        <v>155.72116117919839</v>
      </c>
    </row>
    <row r="23" spans="1:3" x14ac:dyDescent="0.2">
      <c r="A23" s="1" t="s">
        <v>820</v>
      </c>
      <c r="B23" s="10">
        <f>'260212_these Lisa_VDT_MIX sprin'!T49</f>
        <v>1415.1552305732484</v>
      </c>
      <c r="C23" s="10">
        <f>'260212_these Lisa_VDT_MIX sprin'!T223</f>
        <v>159.76448254777071</v>
      </c>
    </row>
    <row r="24" spans="1:3" x14ac:dyDescent="0.2">
      <c r="A24" s="1" t="s">
        <v>821</v>
      </c>
      <c r="B24" s="10">
        <f>'260212_these Lisa_VDT_MIX sprin'!T50</f>
        <v>1755.8317191574722</v>
      </c>
      <c r="C24" s="10">
        <f>'260212_these Lisa_VDT_MIX sprin'!T224</f>
        <v>159.54955907723169</v>
      </c>
    </row>
    <row r="25" spans="1:3" ht="7" customHeight="1" x14ac:dyDescent="0.2">
      <c r="B25" s="10"/>
      <c r="C25" s="10"/>
    </row>
    <row r="26" spans="1:3" x14ac:dyDescent="0.2">
      <c r="A26" s="1" t="s">
        <v>822</v>
      </c>
      <c r="B26" s="10">
        <f>'260212_these Lisa_VDT_MIX sprin'!T51</f>
        <v>2859.0937027115324</v>
      </c>
      <c r="C26" s="10">
        <f>'260212_these Lisa_VDT_MIX sprin'!T217</f>
        <v>3.4146064684743558</v>
      </c>
    </row>
    <row r="27" spans="1:3" x14ac:dyDescent="0.2">
      <c r="A27" s="1" t="s">
        <v>823</v>
      </c>
      <c r="B27" s="10">
        <f>'260212_these Lisa_VDT_MIX sprin'!T52</f>
        <v>2730.0492241610746</v>
      </c>
      <c r="C27" s="10">
        <f>'260212_these Lisa_VDT_MIX sprin'!T218</f>
        <v>3.3258056375838931</v>
      </c>
    </row>
    <row r="28" spans="1:3" x14ac:dyDescent="0.2">
      <c r="A28" s="1" t="s">
        <v>824</v>
      </c>
      <c r="B28" s="10">
        <f>'260212_these Lisa_VDT_MIX sprin'!T53</f>
        <v>1761.5806363636361</v>
      </c>
      <c r="C28" s="10">
        <f>'260212_these Lisa_VDT_MIX sprin'!T219</f>
        <v>19.307822727272729</v>
      </c>
    </row>
    <row r="29" spans="1:3" x14ac:dyDescent="0.2">
      <c r="A29" s="1" t="s">
        <v>825</v>
      </c>
      <c r="B29" s="10">
        <f>'260212_these Lisa_VDT_MIX sprin'!T54</f>
        <v>2061.71306327504</v>
      </c>
      <c r="C29" s="10">
        <f>'260212_these Lisa_VDT_MIX sprin'!T220</f>
        <v>23.603188807631163</v>
      </c>
    </row>
    <row r="30" spans="1:3" ht="6.5" customHeight="1" x14ac:dyDescent="0.2">
      <c r="B30" s="10"/>
      <c r="C30" s="10"/>
    </row>
    <row r="31" spans="1:3" x14ac:dyDescent="0.2">
      <c r="A31" s="1" t="s">
        <v>826</v>
      </c>
      <c r="B31" s="10">
        <f>'260212_these Lisa_VDT_MIX sprin'!T55</f>
        <v>41739.931334805937</v>
      </c>
      <c r="C31" s="10">
        <f>'260212_these Lisa_VDT_MIX sprin'!T216</f>
        <v>4.0339993688860831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facteur récupération</vt:lpstr>
      <vt:lpstr>260212_these Lisa_VDT_MIX sprin</vt:lpstr>
      <vt:lpstr>résultats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Ghislaine Delarue</dc:creator>
  <cp:lastModifiedBy>Lisa Gollot</cp:lastModifiedBy>
  <dcterms:created xsi:type="dcterms:W3CDTF">2026-02-18T07:24:43Z</dcterms:created>
  <dcterms:modified xsi:type="dcterms:W3CDTF">2026-04-17T09:23:37Z</dcterms:modified>
</cp:coreProperties>
</file>