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These/6_Manip/"/>
    </mc:Choice>
  </mc:AlternateContent>
  <xr:revisionPtr revIDLastSave="0" documentId="13_ncr:1_{0114D01F-AE5F-5346-B8BC-B45FB7142857}" xr6:coauthVersionLast="47" xr6:coauthVersionMax="47" xr10:uidLastSave="{00000000-0000-0000-0000-000000000000}"/>
  <bookViews>
    <workbookView xWindow="0" yWindow="740" windowWidth="16300" windowHeight="15880" xr2:uid="{286F499B-E549-4654-957E-F1B26D405D3C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H35" i="1"/>
  <c r="D35" i="1"/>
  <c r="C35" i="1"/>
  <c r="I34" i="1"/>
  <c r="H34" i="1"/>
  <c r="D34" i="1"/>
  <c r="C34" i="1"/>
  <c r="I33" i="1"/>
  <c r="H33" i="1"/>
  <c r="D33" i="1"/>
  <c r="C33" i="1"/>
  <c r="I32" i="1"/>
  <c r="H32" i="1"/>
  <c r="D32" i="1"/>
  <c r="C32" i="1"/>
  <c r="I31" i="1"/>
  <c r="H31" i="1"/>
  <c r="D31" i="1"/>
  <c r="C31" i="1"/>
  <c r="I30" i="1"/>
  <c r="H30" i="1"/>
  <c r="G30" i="1"/>
  <c r="D30" i="1"/>
  <c r="C30" i="1"/>
  <c r="I29" i="1"/>
  <c r="H29" i="1"/>
  <c r="D29" i="1"/>
  <c r="C29" i="1"/>
  <c r="I28" i="1"/>
  <c r="H28" i="1"/>
  <c r="D28" i="1"/>
  <c r="C28" i="1"/>
  <c r="I27" i="1"/>
  <c r="H27" i="1"/>
  <c r="D27" i="1"/>
  <c r="C27" i="1"/>
  <c r="B27" i="1"/>
  <c r="I26" i="1"/>
  <c r="H26" i="1"/>
  <c r="D26" i="1"/>
  <c r="C26" i="1"/>
  <c r="I25" i="1"/>
  <c r="H25" i="1"/>
  <c r="D25" i="1"/>
  <c r="C25" i="1"/>
  <c r="I24" i="1"/>
  <c r="H24" i="1"/>
  <c r="D24" i="1"/>
  <c r="C24" i="1"/>
  <c r="I23" i="1"/>
  <c r="H23" i="1"/>
  <c r="D23" i="1"/>
  <c r="C23" i="1"/>
  <c r="I22" i="1"/>
  <c r="H22" i="1"/>
  <c r="D22" i="1"/>
  <c r="C22" i="1"/>
  <c r="I21" i="1"/>
  <c r="H21" i="1"/>
  <c r="D21" i="1"/>
  <c r="C21" i="1"/>
  <c r="I20" i="1"/>
  <c r="H20" i="1"/>
  <c r="D20" i="1"/>
  <c r="C20" i="1"/>
  <c r="I19" i="1"/>
  <c r="H19" i="1"/>
  <c r="D19" i="1"/>
  <c r="C19" i="1"/>
  <c r="I18" i="1"/>
  <c r="H18" i="1"/>
  <c r="D18" i="1"/>
  <c r="C18" i="1"/>
  <c r="I17" i="1"/>
  <c r="H17" i="1"/>
  <c r="D17" i="1"/>
  <c r="C17" i="1"/>
  <c r="B17" i="1"/>
  <c r="I16" i="1"/>
  <c r="H16" i="1"/>
  <c r="G16" i="1"/>
  <c r="D16" i="1"/>
  <c r="C16" i="1"/>
  <c r="B16" i="1"/>
  <c r="I15" i="1"/>
  <c r="H15" i="1"/>
  <c r="D15" i="1"/>
  <c r="C15" i="1"/>
  <c r="I14" i="1"/>
  <c r="H14" i="1"/>
  <c r="D14" i="1"/>
  <c r="C14" i="1"/>
  <c r="I13" i="1"/>
  <c r="H13" i="1"/>
  <c r="D13" i="1"/>
  <c r="C13" i="1"/>
  <c r="I12" i="1"/>
  <c r="H12" i="1"/>
  <c r="D12" i="1"/>
  <c r="C12" i="1"/>
  <c r="I11" i="1"/>
  <c r="H11" i="1"/>
  <c r="G11" i="1"/>
  <c r="D11" i="1"/>
  <c r="C11" i="1"/>
  <c r="I10" i="1"/>
  <c r="H10" i="1"/>
  <c r="D10" i="1"/>
  <c r="C10" i="1"/>
  <c r="I9" i="1"/>
  <c r="H9" i="1"/>
  <c r="D9" i="1"/>
  <c r="C9" i="1"/>
  <c r="I8" i="1"/>
  <c r="H8" i="1"/>
  <c r="D8" i="1"/>
  <c r="C8" i="1"/>
  <c r="I7" i="1"/>
  <c r="H7" i="1"/>
  <c r="D7" i="1"/>
  <c r="C7" i="1"/>
  <c r="I6" i="1"/>
  <c r="H6" i="1"/>
  <c r="D6" i="1"/>
  <c r="C6" i="1"/>
  <c r="I5" i="1"/>
  <c r="H5" i="1"/>
  <c r="D5" i="1"/>
  <c r="C5" i="1"/>
  <c r="I4" i="1"/>
  <c r="H4" i="1"/>
  <c r="D4" i="1"/>
  <c r="C4" i="1"/>
</calcChain>
</file>

<file path=xl/sharedStrings.xml><?xml version="1.0" encoding="utf-8"?>
<sst xmlns="http://schemas.openxmlformats.org/spreadsheetml/2006/main" count="133" uniqueCount="72">
  <si>
    <t>Vers de terre exposés à l'époxiconazole</t>
  </si>
  <si>
    <t>Vers de terre exposés à l'imidacloprid</t>
  </si>
  <si>
    <t>ng/g de vers de terre frais</t>
  </si>
  <si>
    <t>Diflufenican</t>
  </si>
  <si>
    <t>Epoxiconazole</t>
  </si>
  <si>
    <t>Imidaclopride</t>
  </si>
  <si>
    <t>J+</t>
  </si>
  <si>
    <t>J1_3_VDT_3</t>
  </si>
  <si>
    <t>J1_3_VDT_7</t>
  </si>
  <si>
    <t>J1_4_VDT_4</t>
  </si>
  <si>
    <t>J1_4_VDT_8</t>
  </si>
  <si>
    <t>J2_3_VDT_11</t>
  </si>
  <si>
    <t>J2_3_VDT_15</t>
  </si>
  <si>
    <t>J2_4_VDT_12</t>
  </si>
  <si>
    <t>J2_4_VDT_16</t>
  </si>
  <si>
    <t>J3_3_VDT_19</t>
  </si>
  <si>
    <t>J3_3_VDT_24</t>
  </si>
  <si>
    <t>J3_4_VDT_20</t>
  </si>
  <si>
    <t>J3_4_VDT_23</t>
  </si>
  <si>
    <t>J7_3_VDT_27</t>
  </si>
  <si>
    <t>J7_3_VDT_31</t>
  </si>
  <si>
    <t>J7_4_VDT_28</t>
  </si>
  <si>
    <t>J7_4_VDT_32</t>
  </si>
  <si>
    <t>J10_3_VDT_35</t>
  </si>
  <si>
    <t>J10_3_VDT_39</t>
  </si>
  <si>
    <t>J10_4_VDT_36</t>
  </si>
  <si>
    <t>J10_4_VDT_40</t>
  </si>
  <si>
    <t>J14_3_VDT_43</t>
  </si>
  <si>
    <t>J14_3_VDT_47</t>
  </si>
  <si>
    <t>J14_4_VDT_44</t>
  </si>
  <si>
    <t>J14_4_VDT_48</t>
  </si>
  <si>
    <t>J17_3_VDT_51</t>
  </si>
  <si>
    <t>J17_3_VDT_55</t>
  </si>
  <si>
    <t>J17_4_VDT_52</t>
  </si>
  <si>
    <t>J17_4_VDT_56</t>
  </si>
  <si>
    <t>J21_3_VDT_59</t>
  </si>
  <si>
    <t>J21_3_VDT_62</t>
  </si>
  <si>
    <t>J21_4_VDT_60</t>
  </si>
  <si>
    <t>J21_4_VDT_64</t>
  </si>
  <si>
    <t>J22_3_VDT_71</t>
  </si>
  <si>
    <t>J22_rep3_VDT_67</t>
  </si>
  <si>
    <t>J22_4_VDT_72</t>
  </si>
  <si>
    <t>J22_rep4_VDT_68</t>
  </si>
  <si>
    <t>J23_3_VDT_79</t>
  </si>
  <si>
    <t>J23_rep3_VDT_75</t>
  </si>
  <si>
    <t>J23_4_VDT_80</t>
  </si>
  <si>
    <t>J23_rep4_VDT_76</t>
  </si>
  <si>
    <t>J24_3_VDT_87</t>
  </si>
  <si>
    <t>J24_rep3_VDT_83</t>
  </si>
  <si>
    <t>J24_4_VDT_88</t>
  </si>
  <si>
    <t>J24_rep4_VDT_84</t>
  </si>
  <si>
    <t>J28_3_VDT_95</t>
  </si>
  <si>
    <t>J28_rep3_VDT_91</t>
  </si>
  <si>
    <t>J28_4_VDT_96</t>
  </si>
  <si>
    <t>J28_rep4_VDT_92</t>
  </si>
  <si>
    <t>J31_rep3_VDT_102</t>
  </si>
  <si>
    <t>J31_rep3_VDT_98</t>
  </si>
  <si>
    <t>J31_rep4_VDT_109</t>
  </si>
  <si>
    <t>J31_rep4_VDT_99</t>
  </si>
  <si>
    <t>J35_rep3_VDT_110</t>
  </si>
  <si>
    <t>J35_rep3_VDT_106</t>
  </si>
  <si>
    <t>J35_rep4_VDT_111</t>
  </si>
  <si>
    <t>J35_rep4_VDT_107</t>
  </si>
  <si>
    <t>J38_rep3_VDT_117</t>
  </si>
  <si>
    <t>J38_rep3_VDT_114</t>
  </si>
  <si>
    <t>J38_rep4_VDT_116</t>
  </si>
  <si>
    <t>J38_rep4_VDT_115</t>
  </si>
  <si>
    <t>J42_rep3_VDT_126</t>
  </si>
  <si>
    <t>J42_rep3_VDT_122</t>
  </si>
  <si>
    <t>J42_rep4_VDT_127</t>
  </si>
  <si>
    <t>J42_rep4_VDT_123</t>
  </si>
  <si>
    <t>&lt; 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</si>
</sst>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delarue/Documents/projet_EEWORM/VDT/250318_vdt_these%20lisa_seri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"/>
      <sheetName val="250318_vdt_these lisa_epx_serie"/>
      <sheetName val="250327_vdt_these lisa_imd_serie"/>
      <sheetName val="250423_vdt_these lisa_epx-imd"/>
      <sheetName val="Resultats"/>
    </sheetNames>
    <sheetDataSet>
      <sheetData sheetId="0" refreshError="1"/>
      <sheetData sheetId="1" refreshError="1">
        <row r="41">
          <cell r="T41">
            <v>0.22055723803755298</v>
          </cell>
        </row>
        <row r="42">
          <cell r="T42">
            <v>0.4487691036761669</v>
          </cell>
        </row>
        <row r="52">
          <cell r="T52">
            <v>0.22102833590932505</v>
          </cell>
        </row>
        <row r="135">
          <cell r="T135">
            <v>139.13489696197152</v>
          </cell>
        </row>
        <row r="136">
          <cell r="T136">
            <v>189.25844523732297</v>
          </cell>
        </row>
        <row r="137">
          <cell r="T137">
            <v>149.33543906215436</v>
          </cell>
        </row>
        <row r="138">
          <cell r="T138">
            <v>99.389642596644762</v>
          </cell>
        </row>
        <row r="139">
          <cell r="T139">
            <v>229.88752545931763</v>
          </cell>
        </row>
        <row r="140">
          <cell r="T140">
            <v>173.32803857111546</v>
          </cell>
        </row>
        <row r="141">
          <cell r="T141">
            <v>132.39967115097159</v>
          </cell>
        </row>
        <row r="142">
          <cell r="T142">
            <v>169.81770144739684</v>
          </cell>
        </row>
        <row r="143">
          <cell r="T143">
            <v>176.59621459513494</v>
          </cell>
        </row>
        <row r="144">
          <cell r="T144">
            <v>118.48826966292134</v>
          </cell>
        </row>
        <row r="145">
          <cell r="T145">
            <v>134.17374006990786</v>
          </cell>
        </row>
        <row r="146">
          <cell r="T146">
            <v>180.20837121212119</v>
          </cell>
        </row>
        <row r="147">
          <cell r="T147">
            <v>201.32828184938424</v>
          </cell>
        </row>
        <row r="148">
          <cell r="T148">
            <v>348.08981825691859</v>
          </cell>
        </row>
        <row r="149">
          <cell r="T149">
            <v>107.33737065309583</v>
          </cell>
        </row>
        <row r="150">
          <cell r="T150">
            <v>157.09941646682651</v>
          </cell>
        </row>
        <row r="151">
          <cell r="T151">
            <v>28.098481288076592</v>
          </cell>
        </row>
        <row r="152">
          <cell r="T152">
            <v>10.726846038863977</v>
          </cell>
        </row>
        <row r="153">
          <cell r="T153">
            <v>2.4702222222222221</v>
          </cell>
        </row>
        <row r="154">
          <cell r="T154">
            <v>3.9807412237800244</v>
          </cell>
        </row>
        <row r="155">
          <cell r="T155">
            <v>2.078134556574923</v>
          </cell>
        </row>
        <row r="156">
          <cell r="T156">
            <v>2.7379910667913161</v>
          </cell>
        </row>
        <row r="157">
          <cell r="T157">
            <v>1.3592597137014315</v>
          </cell>
        </row>
        <row r="158">
          <cell r="T158">
            <v>1.7099185986604843</v>
          </cell>
        </row>
        <row r="241">
          <cell r="T241">
            <v>6.181266199277669</v>
          </cell>
        </row>
        <row r="242">
          <cell r="T242">
            <v>6.7870256243918252</v>
          </cell>
        </row>
        <row r="243">
          <cell r="T243">
            <v>6.3229462508294638</v>
          </cell>
        </row>
        <row r="244">
          <cell r="T244">
            <v>5.5875711159737405</v>
          </cell>
        </row>
        <row r="245">
          <cell r="T245">
            <v>5.1912146981627298</v>
          </cell>
        </row>
        <row r="246">
          <cell r="T246">
            <v>6.085167652859961</v>
          </cell>
        </row>
        <row r="247">
          <cell r="T247">
            <v>7.3366816143497768</v>
          </cell>
        </row>
        <row r="248">
          <cell r="T248">
            <v>6.6475955930006485</v>
          </cell>
        </row>
        <row r="249">
          <cell r="T249">
            <v>3.9144329667888473</v>
          </cell>
        </row>
        <row r="250">
          <cell r="T250">
            <v>6.2060524344569288</v>
          </cell>
        </row>
        <row r="251">
          <cell r="T251">
            <v>7.0021946827666559</v>
          </cell>
        </row>
        <row r="252">
          <cell r="T252">
            <v>5.7260058922558903</v>
          </cell>
        </row>
        <row r="253">
          <cell r="T253">
            <v>6.1784292348071874</v>
          </cell>
        </row>
        <row r="254">
          <cell r="T254">
            <v>6.0762370921106994</v>
          </cell>
        </row>
        <row r="255">
          <cell r="T255">
            <v>4.1777650551314673</v>
          </cell>
        </row>
        <row r="256">
          <cell r="T256">
            <v>7.1947521982414067</v>
          </cell>
        </row>
        <row r="257">
          <cell r="T257">
            <v>6.3924194952132289</v>
          </cell>
        </row>
        <row r="258">
          <cell r="T258">
            <v>4.7038565022421519</v>
          </cell>
        </row>
        <row r="259">
          <cell r="T259">
            <v>6.4070641025641022</v>
          </cell>
        </row>
        <row r="260">
          <cell r="T260">
            <v>4.6781697641560696</v>
          </cell>
        </row>
        <row r="261">
          <cell r="T261">
            <v>6.9576758409785917</v>
          </cell>
        </row>
        <row r="262">
          <cell r="T262">
            <v>6.1557826945050369</v>
          </cell>
        </row>
        <row r="263">
          <cell r="T263">
            <v>5.2273537832310843</v>
          </cell>
        </row>
        <row r="264">
          <cell r="T264">
            <v>5.2560947964966509</v>
          </cell>
        </row>
      </sheetData>
      <sheetData sheetId="2" refreshError="1">
        <row r="35">
          <cell r="T35">
            <v>0.28618921308576484</v>
          </cell>
        </row>
        <row r="40">
          <cell r="T40">
            <v>0.24604930046635573</v>
          </cell>
        </row>
        <row r="116">
          <cell r="T116">
            <v>1.2039403620873268</v>
          </cell>
        </row>
        <row r="117">
          <cell r="T117">
            <v>2.0336857844707894</v>
          </cell>
        </row>
        <row r="118">
          <cell r="T118">
            <v>3.4278456870394449</v>
          </cell>
        </row>
        <row r="119">
          <cell r="T119">
            <v>6.709312273774267</v>
          </cell>
        </row>
        <row r="120">
          <cell r="T120">
            <v>0.65689122576404857</v>
          </cell>
        </row>
        <row r="121">
          <cell r="T121">
            <v>0.33365625663904819</v>
          </cell>
        </row>
        <row r="122">
          <cell r="T122">
            <v>1.1590368698269378</v>
          </cell>
        </row>
        <row r="123">
          <cell r="T123">
            <v>0.78584438549955793</v>
          </cell>
        </row>
        <row r="124">
          <cell r="T124">
            <v>0.3012844036697247</v>
          </cell>
        </row>
        <row r="125">
          <cell r="T125">
            <v>0.73964775796866566</v>
          </cell>
        </row>
        <row r="126">
          <cell r="T126">
            <v>0.83733944954128436</v>
          </cell>
        </row>
        <row r="127">
          <cell r="T127">
            <v>0.37982794293803762</v>
          </cell>
        </row>
        <row r="128">
          <cell r="T128">
            <v>0.38611148123473238</v>
          </cell>
        </row>
        <row r="129">
          <cell r="T129">
            <v>0.29978127734033239</v>
          </cell>
        </row>
        <row r="130">
          <cell r="T130">
            <v>0.288062015503876</v>
          </cell>
        </row>
        <row r="131">
          <cell r="T131">
            <v>0.30567983183980524</v>
          </cell>
        </row>
        <row r="204">
          <cell r="T204">
            <v>302.28152928647495</v>
          </cell>
        </row>
        <row r="205">
          <cell r="T205">
            <v>320.74787995300659</v>
          </cell>
        </row>
        <row r="206">
          <cell r="T206">
            <v>454.83005201560479</v>
          </cell>
        </row>
        <row r="207">
          <cell r="T207">
            <v>534.23020291762623</v>
          </cell>
        </row>
        <row r="208">
          <cell r="T208">
            <v>671.51726147442218</v>
          </cell>
        </row>
        <row r="209">
          <cell r="T209">
            <v>605.29212661992779</v>
          </cell>
        </row>
        <row r="210">
          <cell r="T210">
            <v>1057.0580586907449</v>
          </cell>
        </row>
        <row r="211">
          <cell r="T211">
            <v>1136.9109416445622</v>
          </cell>
        </row>
        <row r="212">
          <cell r="T212">
            <v>1225.2402752293574</v>
          </cell>
        </row>
        <row r="213">
          <cell r="T213">
            <v>1177.3037925445703</v>
          </cell>
        </row>
        <row r="214">
          <cell r="T214">
            <v>1151.819633027523</v>
          </cell>
        </row>
        <row r="215">
          <cell r="T215">
            <v>1147.8640705651744</v>
          </cell>
        </row>
        <row r="216">
          <cell r="T216">
            <v>1460.3982633799687</v>
          </cell>
        </row>
        <row r="217">
          <cell r="T217">
            <v>1204.6589982502187</v>
          </cell>
        </row>
        <row r="218">
          <cell r="T218">
            <v>1012.2246821705426</v>
          </cell>
        </row>
        <row r="219">
          <cell r="T219">
            <v>1407.8937758601612</v>
          </cell>
        </row>
      </sheetData>
      <sheetData sheetId="3" refreshError="1">
        <row r="46">
          <cell r="T46">
            <v>0.2226322102278922</v>
          </cell>
        </row>
        <row r="132">
          <cell r="T132">
            <v>1.3490755934799255</v>
          </cell>
        </row>
        <row r="133">
          <cell r="T133">
            <v>0.9953644944842488</v>
          </cell>
        </row>
        <row r="134">
          <cell r="T134">
            <v>1.2783483784687395</v>
          </cell>
        </row>
        <row r="135">
          <cell r="T135">
            <v>1.1171684705367879</v>
          </cell>
        </row>
        <row r="136">
          <cell r="T136">
            <v>0.63862318840579713</v>
          </cell>
        </row>
        <row r="137">
          <cell r="T137">
            <v>1.6766831955922865</v>
          </cell>
        </row>
        <row r="138">
          <cell r="T138">
            <v>1.6080109551523445</v>
          </cell>
        </row>
        <row r="139">
          <cell r="T139">
            <v>1.6079964361287449</v>
          </cell>
        </row>
        <row r="140">
          <cell r="T140">
            <v>0.25165153044063227</v>
          </cell>
        </row>
        <row r="141">
          <cell r="T141">
            <v>0.37662669864108711</v>
          </cell>
        </row>
        <row r="142">
          <cell r="T142">
            <v>0.27392336385215327</v>
          </cell>
        </row>
        <row r="143">
          <cell r="T143">
            <v>0.55953333333333333</v>
          </cell>
        </row>
        <row r="144">
          <cell r="T144">
            <v>0.33345136760867095</v>
          </cell>
        </row>
        <row r="145">
          <cell r="T145">
            <v>0.26262280701754387</v>
          </cell>
        </row>
        <row r="146">
          <cell r="T146">
            <v>0.29903208265361608</v>
          </cell>
        </row>
        <row r="147">
          <cell r="T147">
            <v>0.26637624620719547</v>
          </cell>
        </row>
        <row r="148">
          <cell r="T148">
            <v>0.77642109899790768</v>
          </cell>
        </row>
        <row r="149">
          <cell r="T149">
            <v>0.24499601139601138</v>
          </cell>
        </row>
        <row r="150">
          <cell r="T150">
            <v>0.47475738741685736</v>
          </cell>
        </row>
        <row r="151">
          <cell r="T151">
            <v>0.30482697622996136</v>
          </cell>
        </row>
        <row r="152">
          <cell r="T152">
            <v>0.28165304268846492</v>
          </cell>
        </row>
        <row r="153">
          <cell r="T153">
            <v>0.2864272377814388</v>
          </cell>
        </row>
        <row r="154">
          <cell r="T154">
            <v>0.22171959386476559</v>
          </cell>
        </row>
        <row r="155">
          <cell r="T155">
            <v>0.19653116531165307</v>
          </cell>
        </row>
        <row r="236">
          <cell r="T236">
            <v>5.6094344163658239</v>
          </cell>
        </row>
        <row r="237">
          <cell r="T237">
            <v>4.5767565108609114</v>
          </cell>
        </row>
        <row r="238">
          <cell r="T238">
            <v>5.9388365095285849</v>
          </cell>
        </row>
        <row r="239">
          <cell r="T239">
            <v>4.9073925877336828</v>
          </cell>
        </row>
        <row r="240">
          <cell r="T240">
            <v>4.7480105401844535</v>
          </cell>
        </row>
        <row r="241">
          <cell r="T241">
            <v>5.8399977961432503</v>
          </cell>
        </row>
        <row r="242">
          <cell r="T242">
            <v>7.9237156225037078</v>
          </cell>
        </row>
        <row r="243">
          <cell r="T243">
            <v>5.9159238222519201</v>
          </cell>
        </row>
        <row r="244">
          <cell r="T244">
            <v>1226.6039017827109</v>
          </cell>
        </row>
        <row r="245">
          <cell r="T245">
            <v>998.30142286171065</v>
          </cell>
        </row>
        <row r="246">
          <cell r="T246">
            <v>715.53821182321678</v>
          </cell>
        </row>
        <row r="247">
          <cell r="T247">
            <v>771.91955555555558</v>
          </cell>
        </row>
        <row r="248">
          <cell r="T248">
            <v>852.68621495857451</v>
          </cell>
        </row>
        <row r="249">
          <cell r="T249">
            <v>1028.9316271929824</v>
          </cell>
        </row>
        <row r="250">
          <cell r="T250">
            <v>682.33944535073397</v>
          </cell>
        </row>
        <row r="251">
          <cell r="T251">
            <v>788.01667100130044</v>
          </cell>
        </row>
        <row r="252">
          <cell r="T252">
            <v>647.92268252395093</v>
          </cell>
        </row>
        <row r="253">
          <cell r="T253">
            <v>795.26212649572642</v>
          </cell>
        </row>
        <row r="254">
          <cell r="T254">
            <v>562.10764802093536</v>
          </cell>
        </row>
        <row r="255">
          <cell r="T255">
            <v>439.99614814814817</v>
          </cell>
        </row>
        <row r="256">
          <cell r="T256">
            <v>669.08104450499536</v>
          </cell>
        </row>
        <row r="257">
          <cell r="T257">
            <v>679.66252828116433</v>
          </cell>
        </row>
        <row r="258">
          <cell r="T258">
            <v>612.90687405487142</v>
          </cell>
        </row>
        <row r="259">
          <cell r="T259">
            <v>642.04813441734427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51DE-8840-4906-A486-933ECFF3D933}">
  <dimension ref="A1:I37"/>
  <sheetViews>
    <sheetView tabSelected="1" workbookViewId="0">
      <selection activeCell="J9" sqref="J9"/>
    </sheetView>
  </sheetViews>
  <sheetFormatPr baseColWidth="10" defaultRowHeight="15" x14ac:dyDescent="0.2"/>
  <cols>
    <col min="1" max="1" width="21.33203125" customWidth="1"/>
    <col min="2" max="2" width="11.33203125" bestFit="1" customWidth="1"/>
    <col min="3" max="3" width="14.5" customWidth="1"/>
    <col min="4" max="4" width="13.6640625" customWidth="1"/>
    <col min="5" max="5" width="11.1640625" customWidth="1"/>
    <col min="6" max="6" width="21.33203125" customWidth="1"/>
    <col min="7" max="7" width="11.33203125" bestFit="1" customWidth="1"/>
    <col min="8" max="8" width="14.83203125" customWidth="1"/>
    <col min="9" max="9" width="13.6640625" customWidth="1"/>
  </cols>
  <sheetData>
    <row r="1" spans="1:9" x14ac:dyDescent="0.2">
      <c r="A1" s="1" t="s">
        <v>0</v>
      </c>
      <c r="B1" s="1"/>
      <c r="C1" s="1"/>
      <c r="D1" s="1"/>
      <c r="E1" s="2"/>
      <c r="F1" s="3" t="s">
        <v>1</v>
      </c>
      <c r="G1" s="3"/>
      <c r="H1" s="3"/>
      <c r="I1" s="3"/>
    </row>
    <row r="2" spans="1:9" x14ac:dyDescent="0.2">
      <c r="B2" s="7" t="s">
        <v>2</v>
      </c>
      <c r="C2" s="7"/>
      <c r="D2" s="7"/>
      <c r="E2" s="2"/>
      <c r="G2" s="7" t="s">
        <v>2</v>
      </c>
      <c r="H2" s="7"/>
      <c r="I2" s="7"/>
    </row>
    <row r="3" spans="1:9" x14ac:dyDescent="0.2">
      <c r="B3" s="2" t="s">
        <v>3</v>
      </c>
      <c r="C3" s="4" t="s">
        <v>4</v>
      </c>
      <c r="D3" s="2" t="s">
        <v>5</v>
      </c>
      <c r="E3" s="2" t="s">
        <v>6</v>
      </c>
      <c r="G3" s="2" t="s">
        <v>3</v>
      </c>
      <c r="H3" s="2" t="s">
        <v>4</v>
      </c>
      <c r="I3" s="4" t="s">
        <v>5</v>
      </c>
    </row>
    <row r="4" spans="1:9" x14ac:dyDescent="0.2">
      <c r="A4" t="s">
        <v>7</v>
      </c>
      <c r="B4" s="5" t="s">
        <v>71</v>
      </c>
      <c r="C4" s="5">
        <f>'[1]250318_vdt_these lisa_epx_serie'!T135</f>
        <v>139.13489696197152</v>
      </c>
      <c r="D4" s="5">
        <f>'[1]250318_vdt_these lisa_epx_serie'!T241</f>
        <v>6.181266199277669</v>
      </c>
      <c r="E4" s="2">
        <v>1</v>
      </c>
      <c r="F4" t="s">
        <v>8</v>
      </c>
      <c r="G4" s="5" t="s">
        <v>71</v>
      </c>
      <c r="H4" s="5">
        <f>'[1]250327_vdt_these lisa_imd_serie'!T116</f>
        <v>1.2039403620873268</v>
      </c>
      <c r="I4" s="6">
        <f>'[1]250327_vdt_these lisa_imd_serie'!T204</f>
        <v>302.28152928647495</v>
      </c>
    </row>
    <row r="5" spans="1:9" x14ac:dyDescent="0.2">
      <c r="A5" t="s">
        <v>9</v>
      </c>
      <c r="B5" s="5" t="s">
        <v>71</v>
      </c>
      <c r="C5" s="5">
        <f>'[1]250318_vdt_these lisa_epx_serie'!T136</f>
        <v>189.25844523732297</v>
      </c>
      <c r="D5" s="5">
        <f>'[1]250318_vdt_these lisa_epx_serie'!T242</f>
        <v>6.7870256243918252</v>
      </c>
      <c r="E5" s="2">
        <v>1</v>
      </c>
      <c r="F5" t="s">
        <v>10</v>
      </c>
      <c r="G5" s="5" t="s">
        <v>71</v>
      </c>
      <c r="H5" s="5">
        <f>'[1]250327_vdt_these lisa_imd_serie'!T117</f>
        <v>2.0336857844707894</v>
      </c>
      <c r="I5" s="6">
        <f>'[1]250327_vdt_these lisa_imd_serie'!T205</f>
        <v>320.74787995300659</v>
      </c>
    </row>
    <row r="6" spans="1:9" x14ac:dyDescent="0.2">
      <c r="A6" t="s">
        <v>11</v>
      </c>
      <c r="B6" s="5" t="s">
        <v>71</v>
      </c>
      <c r="C6" s="5">
        <f>'[1]250318_vdt_these lisa_epx_serie'!T137</f>
        <v>149.33543906215436</v>
      </c>
      <c r="D6" s="5">
        <f>'[1]250318_vdt_these lisa_epx_serie'!T243</f>
        <v>6.3229462508294638</v>
      </c>
      <c r="E6" s="2">
        <v>2</v>
      </c>
      <c r="F6" t="s">
        <v>12</v>
      </c>
      <c r="G6" s="5" t="s">
        <v>71</v>
      </c>
      <c r="H6" s="5">
        <f>'[1]250327_vdt_these lisa_imd_serie'!T118</f>
        <v>3.4278456870394449</v>
      </c>
      <c r="I6" s="6">
        <f>'[1]250327_vdt_these lisa_imd_serie'!T206</f>
        <v>454.83005201560479</v>
      </c>
    </row>
    <row r="7" spans="1:9" x14ac:dyDescent="0.2">
      <c r="A7" t="s">
        <v>13</v>
      </c>
      <c r="B7" s="5" t="s">
        <v>71</v>
      </c>
      <c r="C7" s="5">
        <f>'[1]250318_vdt_these lisa_epx_serie'!T138</f>
        <v>99.389642596644762</v>
      </c>
      <c r="D7" s="5">
        <f>'[1]250318_vdt_these lisa_epx_serie'!T244</f>
        <v>5.5875711159737405</v>
      </c>
      <c r="E7" s="2">
        <v>2</v>
      </c>
      <c r="F7" t="s">
        <v>14</v>
      </c>
      <c r="G7" s="5" t="s">
        <v>71</v>
      </c>
      <c r="H7" s="5">
        <f>'[1]250327_vdt_these lisa_imd_serie'!T119</f>
        <v>6.709312273774267</v>
      </c>
      <c r="I7" s="6">
        <f>'[1]250327_vdt_these lisa_imd_serie'!T207</f>
        <v>534.23020291762623</v>
      </c>
    </row>
    <row r="8" spans="1:9" x14ac:dyDescent="0.2">
      <c r="A8" t="s">
        <v>15</v>
      </c>
      <c r="B8" s="5" t="s">
        <v>71</v>
      </c>
      <c r="C8" s="5">
        <f>'[1]250318_vdt_these lisa_epx_serie'!T139</f>
        <v>229.88752545931763</v>
      </c>
      <c r="D8" s="5">
        <f>'[1]250318_vdt_these lisa_epx_serie'!T245</f>
        <v>5.1912146981627298</v>
      </c>
      <c r="E8" s="2">
        <v>3</v>
      </c>
      <c r="F8" t="s">
        <v>16</v>
      </c>
      <c r="G8" s="5" t="s">
        <v>71</v>
      </c>
      <c r="H8" s="5">
        <f>'[1]250327_vdt_these lisa_imd_serie'!T120</f>
        <v>0.65689122576404857</v>
      </c>
      <c r="I8" s="6">
        <f>'[1]250327_vdt_these lisa_imd_serie'!T208</f>
        <v>671.51726147442218</v>
      </c>
    </row>
    <row r="9" spans="1:9" x14ac:dyDescent="0.2">
      <c r="A9" t="s">
        <v>17</v>
      </c>
      <c r="B9" s="5" t="s">
        <v>71</v>
      </c>
      <c r="C9" s="5">
        <f>'[1]250318_vdt_these lisa_epx_serie'!T140</f>
        <v>173.32803857111546</v>
      </c>
      <c r="D9" s="5">
        <f>'[1]250318_vdt_these lisa_epx_serie'!T246</f>
        <v>6.085167652859961</v>
      </c>
      <c r="E9" s="2">
        <v>3</v>
      </c>
      <c r="F9" t="s">
        <v>18</v>
      </c>
      <c r="G9" s="5" t="s">
        <v>71</v>
      </c>
      <c r="H9" s="5">
        <f>'[1]250327_vdt_these lisa_imd_serie'!T121</f>
        <v>0.33365625663904819</v>
      </c>
      <c r="I9" s="6">
        <f>'[1]250327_vdt_these lisa_imd_serie'!T209</f>
        <v>605.29212661992779</v>
      </c>
    </row>
    <row r="10" spans="1:9" x14ac:dyDescent="0.2">
      <c r="A10" t="s">
        <v>19</v>
      </c>
      <c r="B10" s="5" t="s">
        <v>71</v>
      </c>
      <c r="C10" s="5">
        <f>'[1]250318_vdt_these lisa_epx_serie'!T141</f>
        <v>132.39967115097159</v>
      </c>
      <c r="D10" s="5">
        <f>'[1]250318_vdt_these lisa_epx_serie'!T247</f>
        <v>7.3366816143497768</v>
      </c>
      <c r="E10" s="2">
        <v>7</v>
      </c>
      <c r="F10" t="s">
        <v>20</v>
      </c>
      <c r="G10" s="5" t="s">
        <v>71</v>
      </c>
      <c r="H10" s="5">
        <f>'[1]250327_vdt_these lisa_imd_serie'!T122</f>
        <v>1.1590368698269378</v>
      </c>
      <c r="I10" s="6">
        <f>'[1]250327_vdt_these lisa_imd_serie'!T210</f>
        <v>1057.0580586907449</v>
      </c>
    </row>
    <row r="11" spans="1:9" x14ac:dyDescent="0.2">
      <c r="A11" t="s">
        <v>21</v>
      </c>
      <c r="B11" s="5" t="s">
        <v>71</v>
      </c>
      <c r="C11" s="5">
        <f>'[1]250318_vdt_these lisa_epx_serie'!T142</f>
        <v>169.81770144739684</v>
      </c>
      <c r="D11" s="5">
        <f>'[1]250318_vdt_these lisa_epx_serie'!T248</f>
        <v>6.6475955930006485</v>
      </c>
      <c r="E11" s="2">
        <v>7</v>
      </c>
      <c r="F11" t="s">
        <v>22</v>
      </c>
      <c r="G11" s="5">
        <f>'[1]250327_vdt_these lisa_imd_serie'!T35</f>
        <v>0.28618921308576484</v>
      </c>
      <c r="H11" s="5">
        <f>'[1]250327_vdt_these lisa_imd_serie'!T123</f>
        <v>0.78584438549955793</v>
      </c>
      <c r="I11" s="6">
        <f>'[1]250327_vdt_these lisa_imd_serie'!T211</f>
        <v>1136.9109416445622</v>
      </c>
    </row>
    <row r="12" spans="1:9" x14ac:dyDescent="0.2">
      <c r="A12" t="s">
        <v>23</v>
      </c>
      <c r="B12" s="5" t="s">
        <v>71</v>
      </c>
      <c r="C12" s="5">
        <f>'[1]250318_vdt_these lisa_epx_serie'!T143</f>
        <v>176.59621459513494</v>
      </c>
      <c r="D12" s="5">
        <f>'[1]250318_vdt_these lisa_epx_serie'!T249</f>
        <v>3.9144329667888473</v>
      </c>
      <c r="E12" s="2">
        <v>10</v>
      </c>
      <c r="F12" t="s">
        <v>24</v>
      </c>
      <c r="G12" s="5" t="s">
        <v>71</v>
      </c>
      <c r="H12" s="5">
        <f>'[1]250327_vdt_these lisa_imd_serie'!T124</f>
        <v>0.3012844036697247</v>
      </c>
      <c r="I12" s="6">
        <f>'[1]250327_vdt_these lisa_imd_serie'!T212</f>
        <v>1225.2402752293574</v>
      </c>
    </row>
    <row r="13" spans="1:9" x14ac:dyDescent="0.2">
      <c r="A13" t="s">
        <v>25</v>
      </c>
      <c r="B13" s="5" t="s">
        <v>71</v>
      </c>
      <c r="C13" s="5">
        <f>'[1]250318_vdt_these lisa_epx_serie'!T144</f>
        <v>118.48826966292134</v>
      </c>
      <c r="D13" s="5">
        <f>'[1]250318_vdt_these lisa_epx_serie'!T250</f>
        <v>6.2060524344569288</v>
      </c>
      <c r="E13" s="2">
        <v>10</v>
      </c>
      <c r="F13" t="s">
        <v>26</v>
      </c>
      <c r="G13" s="5" t="s">
        <v>71</v>
      </c>
      <c r="H13" s="5">
        <f>'[1]250327_vdt_these lisa_imd_serie'!T125</f>
        <v>0.73964775796866566</v>
      </c>
      <c r="I13" s="6">
        <f>'[1]250327_vdt_these lisa_imd_serie'!T213</f>
        <v>1177.3037925445703</v>
      </c>
    </row>
    <row r="14" spans="1:9" x14ac:dyDescent="0.2">
      <c r="A14" t="s">
        <v>27</v>
      </c>
      <c r="B14" s="5" t="s">
        <v>71</v>
      </c>
      <c r="C14" s="5">
        <f>'[1]250318_vdt_these lisa_epx_serie'!T145</f>
        <v>134.17374006990786</v>
      </c>
      <c r="D14" s="5">
        <f>'[1]250318_vdt_these lisa_epx_serie'!T251</f>
        <v>7.0021946827666559</v>
      </c>
      <c r="E14" s="2">
        <v>14</v>
      </c>
      <c r="F14" t="s">
        <v>28</v>
      </c>
      <c r="G14" s="5" t="s">
        <v>71</v>
      </c>
      <c r="H14" s="5">
        <f>'[1]250327_vdt_these lisa_imd_serie'!T126</f>
        <v>0.83733944954128436</v>
      </c>
      <c r="I14" s="6">
        <f>'[1]250327_vdt_these lisa_imd_serie'!T214</f>
        <v>1151.819633027523</v>
      </c>
    </row>
    <row r="15" spans="1:9" x14ac:dyDescent="0.2">
      <c r="A15" t="s">
        <v>29</v>
      </c>
      <c r="B15" s="5" t="s">
        <v>71</v>
      </c>
      <c r="C15" s="5">
        <f>'[1]250318_vdt_these lisa_epx_serie'!T146</f>
        <v>180.20837121212119</v>
      </c>
      <c r="D15" s="5">
        <f>'[1]250318_vdt_these lisa_epx_serie'!T252</f>
        <v>5.7260058922558903</v>
      </c>
      <c r="E15" s="2">
        <v>14</v>
      </c>
      <c r="F15" t="s">
        <v>30</v>
      </c>
      <c r="G15" s="5" t="s">
        <v>71</v>
      </c>
      <c r="H15" s="5">
        <f>'[1]250327_vdt_these lisa_imd_serie'!T127</f>
        <v>0.37982794293803762</v>
      </c>
      <c r="I15" s="6">
        <f>'[1]250327_vdt_these lisa_imd_serie'!T215</f>
        <v>1147.8640705651744</v>
      </c>
    </row>
    <row r="16" spans="1:9" x14ac:dyDescent="0.2">
      <c r="A16" t="s">
        <v>31</v>
      </c>
      <c r="B16" s="5">
        <f>'[1]250318_vdt_these lisa_epx_serie'!T41</f>
        <v>0.22055723803755298</v>
      </c>
      <c r="C16" s="5">
        <f>'[1]250318_vdt_these lisa_epx_serie'!T147</f>
        <v>201.32828184938424</v>
      </c>
      <c r="D16" s="5">
        <f>'[1]250318_vdt_these lisa_epx_serie'!T253</f>
        <v>6.1784292348071874</v>
      </c>
      <c r="E16" s="2">
        <v>17</v>
      </c>
      <c r="F16" t="s">
        <v>32</v>
      </c>
      <c r="G16" s="5">
        <f>'[1]250327_vdt_these lisa_imd_serie'!T40</f>
        <v>0.24604930046635573</v>
      </c>
      <c r="H16" s="5">
        <f>'[1]250327_vdt_these lisa_imd_serie'!T128</f>
        <v>0.38611148123473238</v>
      </c>
      <c r="I16" s="6">
        <f>'[1]250327_vdt_these lisa_imd_serie'!T216</f>
        <v>1460.3982633799687</v>
      </c>
    </row>
    <row r="17" spans="1:9" x14ac:dyDescent="0.2">
      <c r="A17" t="s">
        <v>33</v>
      </c>
      <c r="B17" s="5">
        <f>'[1]250318_vdt_these lisa_epx_serie'!T42</f>
        <v>0.4487691036761669</v>
      </c>
      <c r="C17" s="5">
        <f>'[1]250318_vdt_these lisa_epx_serie'!T148</f>
        <v>348.08981825691859</v>
      </c>
      <c r="D17" s="5">
        <f>'[1]250318_vdt_these lisa_epx_serie'!T254</f>
        <v>6.0762370921106994</v>
      </c>
      <c r="E17" s="2">
        <v>17</v>
      </c>
      <c r="F17" t="s">
        <v>34</v>
      </c>
      <c r="G17" s="5" t="s">
        <v>71</v>
      </c>
      <c r="H17" s="5">
        <f>'[1]250327_vdt_these lisa_imd_serie'!T129</f>
        <v>0.29978127734033239</v>
      </c>
      <c r="I17" s="6">
        <f>'[1]250327_vdt_these lisa_imd_serie'!T217</f>
        <v>1204.6589982502187</v>
      </c>
    </row>
    <row r="18" spans="1:9" x14ac:dyDescent="0.2">
      <c r="A18" t="s">
        <v>35</v>
      </c>
      <c r="B18" s="5" t="s">
        <v>71</v>
      </c>
      <c r="C18" s="5">
        <f>'[1]250318_vdt_these lisa_epx_serie'!T149</f>
        <v>107.33737065309583</v>
      </c>
      <c r="D18" s="5">
        <f>'[1]250318_vdt_these lisa_epx_serie'!T255</f>
        <v>4.1777650551314673</v>
      </c>
      <c r="E18" s="2">
        <v>21</v>
      </c>
      <c r="F18" t="s">
        <v>36</v>
      </c>
      <c r="G18" s="5" t="s">
        <v>71</v>
      </c>
      <c r="H18" s="5">
        <f>'[1]250327_vdt_these lisa_imd_serie'!T130</f>
        <v>0.288062015503876</v>
      </c>
      <c r="I18" s="6">
        <f>'[1]250327_vdt_these lisa_imd_serie'!T218</f>
        <v>1012.2246821705426</v>
      </c>
    </row>
    <row r="19" spans="1:9" x14ac:dyDescent="0.2">
      <c r="A19" t="s">
        <v>37</v>
      </c>
      <c r="B19" s="5" t="s">
        <v>71</v>
      </c>
      <c r="C19" s="5">
        <f>'[1]250318_vdt_these lisa_epx_serie'!T150</f>
        <v>157.09941646682651</v>
      </c>
      <c r="D19" s="5">
        <f>'[1]250318_vdt_these lisa_epx_serie'!T256</f>
        <v>7.1947521982414067</v>
      </c>
      <c r="E19" s="2">
        <v>21</v>
      </c>
      <c r="F19" t="s">
        <v>38</v>
      </c>
      <c r="G19" s="5" t="s">
        <v>71</v>
      </c>
      <c r="H19" s="5">
        <f>'[1]250327_vdt_these lisa_imd_serie'!T131</f>
        <v>0.30567983183980524</v>
      </c>
      <c r="I19" s="6">
        <f>'[1]250327_vdt_these lisa_imd_serie'!T219</f>
        <v>1407.8937758601612</v>
      </c>
    </row>
    <row r="20" spans="1:9" x14ac:dyDescent="0.2">
      <c r="A20" t="s">
        <v>39</v>
      </c>
      <c r="B20" s="5" t="s">
        <v>71</v>
      </c>
      <c r="C20" s="5">
        <f>'[1]250318_vdt_these lisa_epx_serie'!T151</f>
        <v>28.098481288076592</v>
      </c>
      <c r="D20" s="5">
        <f>'[1]250318_vdt_these lisa_epx_serie'!T257</f>
        <v>6.3924194952132289</v>
      </c>
      <c r="E20" s="2">
        <v>22</v>
      </c>
      <c r="F20" t="s">
        <v>40</v>
      </c>
      <c r="G20" s="5" t="s">
        <v>71</v>
      </c>
      <c r="H20" s="5">
        <f>'[1]250423_vdt_these lisa_epx-imd'!T140</f>
        <v>0.25165153044063227</v>
      </c>
      <c r="I20" s="5">
        <f>'[1]250423_vdt_these lisa_epx-imd'!T244</f>
        <v>1226.6039017827109</v>
      </c>
    </row>
    <row r="21" spans="1:9" x14ac:dyDescent="0.2">
      <c r="A21" t="s">
        <v>41</v>
      </c>
      <c r="B21" s="5" t="s">
        <v>71</v>
      </c>
      <c r="C21" s="5">
        <f>'[1]250318_vdt_these lisa_epx_serie'!T152</f>
        <v>10.726846038863977</v>
      </c>
      <c r="D21" s="5">
        <f>'[1]250318_vdt_these lisa_epx_serie'!T258</f>
        <v>4.7038565022421519</v>
      </c>
      <c r="E21" s="2">
        <v>22</v>
      </c>
      <c r="F21" t="s">
        <v>42</v>
      </c>
      <c r="G21" s="5" t="s">
        <v>71</v>
      </c>
      <c r="H21" s="5">
        <f>'[1]250423_vdt_these lisa_epx-imd'!T141</f>
        <v>0.37662669864108711</v>
      </c>
      <c r="I21" s="5">
        <f>'[1]250423_vdt_these lisa_epx-imd'!T245</f>
        <v>998.30142286171065</v>
      </c>
    </row>
    <row r="22" spans="1:9" x14ac:dyDescent="0.2">
      <c r="A22" t="s">
        <v>43</v>
      </c>
      <c r="B22" s="5" t="s">
        <v>71</v>
      </c>
      <c r="C22" s="5">
        <f>'[1]250318_vdt_these lisa_epx_serie'!T153</f>
        <v>2.4702222222222221</v>
      </c>
      <c r="D22" s="5">
        <f>'[1]250318_vdt_these lisa_epx_serie'!T259</f>
        <v>6.4070641025641022</v>
      </c>
      <c r="E22" s="2">
        <v>23</v>
      </c>
      <c r="F22" t="s">
        <v>44</v>
      </c>
      <c r="G22" s="5" t="s">
        <v>71</v>
      </c>
      <c r="H22" s="5">
        <f>'[1]250423_vdt_these lisa_epx-imd'!T142</f>
        <v>0.27392336385215327</v>
      </c>
      <c r="I22" s="5">
        <f>'[1]250423_vdt_these lisa_epx-imd'!T246</f>
        <v>715.53821182321678</v>
      </c>
    </row>
    <row r="23" spans="1:9" x14ac:dyDescent="0.2">
      <c r="A23" t="s">
        <v>45</v>
      </c>
      <c r="B23" s="5" t="s">
        <v>71</v>
      </c>
      <c r="C23" s="5">
        <f>'[1]250318_vdt_these lisa_epx_serie'!T154</f>
        <v>3.9807412237800244</v>
      </c>
      <c r="D23" s="5">
        <f>'[1]250318_vdt_these lisa_epx_serie'!T260</f>
        <v>4.6781697641560696</v>
      </c>
      <c r="E23" s="2">
        <v>23</v>
      </c>
      <c r="F23" t="s">
        <v>46</v>
      </c>
      <c r="G23" s="5" t="s">
        <v>71</v>
      </c>
      <c r="H23" s="5">
        <f>'[1]250423_vdt_these lisa_epx-imd'!T143</f>
        <v>0.55953333333333333</v>
      </c>
      <c r="I23" s="5">
        <f>'[1]250423_vdt_these lisa_epx-imd'!T247</f>
        <v>771.91955555555558</v>
      </c>
    </row>
    <row r="24" spans="1:9" x14ac:dyDescent="0.2">
      <c r="A24" t="s">
        <v>47</v>
      </c>
      <c r="B24" s="5" t="s">
        <v>71</v>
      </c>
      <c r="C24" s="5">
        <f>'[1]250318_vdt_these lisa_epx_serie'!T155</f>
        <v>2.078134556574923</v>
      </c>
      <c r="D24" s="5">
        <f>'[1]250318_vdt_these lisa_epx_serie'!T261</f>
        <v>6.9576758409785917</v>
      </c>
      <c r="E24" s="2">
        <v>24</v>
      </c>
      <c r="F24" t="s">
        <v>48</v>
      </c>
      <c r="G24" s="5" t="s">
        <v>71</v>
      </c>
      <c r="H24" s="5">
        <f>'[1]250423_vdt_these lisa_epx-imd'!T144</f>
        <v>0.33345136760867095</v>
      </c>
      <c r="I24" s="5">
        <f>'[1]250423_vdt_these lisa_epx-imd'!T248</f>
        <v>852.68621495857451</v>
      </c>
    </row>
    <row r="25" spans="1:9" x14ac:dyDescent="0.2">
      <c r="A25" t="s">
        <v>49</v>
      </c>
      <c r="B25" s="5" t="s">
        <v>71</v>
      </c>
      <c r="C25" s="5">
        <f>'[1]250318_vdt_these lisa_epx_serie'!T156</f>
        <v>2.7379910667913161</v>
      </c>
      <c r="D25" s="5">
        <f>'[1]250318_vdt_these lisa_epx_serie'!T262</f>
        <v>6.1557826945050369</v>
      </c>
      <c r="E25" s="2">
        <v>24</v>
      </c>
      <c r="F25" t="s">
        <v>50</v>
      </c>
      <c r="G25" s="5" t="s">
        <v>71</v>
      </c>
      <c r="H25" s="5">
        <f>'[1]250423_vdt_these lisa_epx-imd'!T145</f>
        <v>0.26262280701754387</v>
      </c>
      <c r="I25" s="5">
        <f>'[1]250423_vdt_these lisa_epx-imd'!T249</f>
        <v>1028.9316271929824</v>
      </c>
    </row>
    <row r="26" spans="1:9" x14ac:dyDescent="0.2">
      <c r="A26" t="s">
        <v>51</v>
      </c>
      <c r="B26" s="5" t="s">
        <v>71</v>
      </c>
      <c r="C26" s="5">
        <f>'[1]250318_vdt_these lisa_epx_serie'!T157</f>
        <v>1.3592597137014315</v>
      </c>
      <c r="D26" s="5">
        <f>'[1]250318_vdt_these lisa_epx_serie'!T263</f>
        <v>5.2273537832310843</v>
      </c>
      <c r="E26" s="2">
        <v>28</v>
      </c>
      <c r="F26" t="s">
        <v>52</v>
      </c>
      <c r="G26" s="5" t="s">
        <v>71</v>
      </c>
      <c r="H26" s="5">
        <f>'[1]250423_vdt_these lisa_epx-imd'!T146</f>
        <v>0.29903208265361608</v>
      </c>
      <c r="I26" s="5">
        <f>'[1]250423_vdt_these lisa_epx-imd'!T250</f>
        <v>682.33944535073397</v>
      </c>
    </row>
    <row r="27" spans="1:9" x14ac:dyDescent="0.2">
      <c r="A27" t="s">
        <v>53</v>
      </c>
      <c r="B27" s="5">
        <f>'[1]250318_vdt_these lisa_epx_serie'!T52</f>
        <v>0.22102833590932505</v>
      </c>
      <c r="C27" s="5">
        <f>'[1]250318_vdt_these lisa_epx_serie'!T158</f>
        <v>1.7099185986604843</v>
      </c>
      <c r="D27" s="5">
        <f>'[1]250318_vdt_these lisa_epx_serie'!T264</f>
        <v>5.2560947964966509</v>
      </c>
      <c r="E27" s="2">
        <v>28</v>
      </c>
      <c r="F27" t="s">
        <v>54</v>
      </c>
      <c r="G27" s="5" t="s">
        <v>71</v>
      </c>
      <c r="H27" s="5">
        <f>'[1]250423_vdt_these lisa_epx-imd'!T147</f>
        <v>0.26637624620719547</v>
      </c>
      <c r="I27" s="5">
        <f>'[1]250423_vdt_these lisa_epx-imd'!T251</f>
        <v>788.01667100130044</v>
      </c>
    </row>
    <row r="28" spans="1:9" x14ac:dyDescent="0.2">
      <c r="A28" t="s">
        <v>55</v>
      </c>
      <c r="B28" s="5" t="s">
        <v>71</v>
      </c>
      <c r="C28" s="5">
        <f>'[1]250423_vdt_these lisa_epx-imd'!T132</f>
        <v>1.3490755934799255</v>
      </c>
      <c r="D28" s="5">
        <f>'[1]250423_vdt_these lisa_epx-imd'!T236</f>
        <v>5.6094344163658239</v>
      </c>
      <c r="E28" s="2">
        <v>31</v>
      </c>
      <c r="F28" t="s">
        <v>56</v>
      </c>
      <c r="G28" s="5" t="s">
        <v>71</v>
      </c>
      <c r="H28" s="5">
        <f>'[1]250423_vdt_these lisa_epx-imd'!T148</f>
        <v>0.77642109899790768</v>
      </c>
      <c r="I28" s="5">
        <f>'[1]250423_vdt_these lisa_epx-imd'!T252</f>
        <v>647.92268252395093</v>
      </c>
    </row>
    <row r="29" spans="1:9" x14ac:dyDescent="0.2">
      <c r="A29" t="s">
        <v>57</v>
      </c>
      <c r="B29" s="5" t="s">
        <v>71</v>
      </c>
      <c r="C29" s="5">
        <f>'[1]250423_vdt_these lisa_epx-imd'!T133</f>
        <v>0.9953644944842488</v>
      </c>
      <c r="D29" s="5">
        <f>'[1]250423_vdt_these lisa_epx-imd'!T237</f>
        <v>4.5767565108609114</v>
      </c>
      <c r="E29" s="2">
        <v>31</v>
      </c>
      <c r="F29" t="s">
        <v>58</v>
      </c>
      <c r="G29" s="5" t="s">
        <v>71</v>
      </c>
      <c r="H29" s="5">
        <f>'[1]250423_vdt_these lisa_epx-imd'!T149</f>
        <v>0.24499601139601138</v>
      </c>
      <c r="I29" s="5">
        <f>'[1]250423_vdt_these lisa_epx-imd'!T253</f>
        <v>795.26212649572642</v>
      </c>
    </row>
    <row r="30" spans="1:9" x14ac:dyDescent="0.2">
      <c r="A30" t="s">
        <v>59</v>
      </c>
      <c r="B30" s="5" t="s">
        <v>71</v>
      </c>
      <c r="C30" s="5">
        <f>'[1]250423_vdt_these lisa_epx-imd'!T138</f>
        <v>1.6080109551523445</v>
      </c>
      <c r="D30" s="5">
        <f>'[1]250423_vdt_these lisa_epx-imd'!T242</f>
        <v>7.9237156225037078</v>
      </c>
      <c r="E30" s="2">
        <v>35</v>
      </c>
      <c r="F30" t="s">
        <v>60</v>
      </c>
      <c r="G30" s="5">
        <f>'[1]250423_vdt_these lisa_epx-imd'!T46</f>
        <v>0.2226322102278922</v>
      </c>
      <c r="H30" s="5">
        <f>'[1]250423_vdt_these lisa_epx-imd'!T150</f>
        <v>0.47475738741685736</v>
      </c>
      <c r="I30" s="5">
        <f>'[1]250423_vdt_these lisa_epx-imd'!T254</f>
        <v>562.10764802093536</v>
      </c>
    </row>
    <row r="31" spans="1:9" x14ac:dyDescent="0.2">
      <c r="A31" t="s">
        <v>61</v>
      </c>
      <c r="B31" s="5" t="s">
        <v>71</v>
      </c>
      <c r="C31" s="5">
        <f>'[1]250423_vdt_these lisa_epx-imd'!T139</f>
        <v>1.6079964361287449</v>
      </c>
      <c r="D31" s="5">
        <f>'[1]250423_vdt_these lisa_epx-imd'!T243</f>
        <v>5.9159238222519201</v>
      </c>
      <c r="E31" s="2">
        <v>35</v>
      </c>
      <c r="F31" t="s">
        <v>62</v>
      </c>
      <c r="G31" s="5" t="s">
        <v>71</v>
      </c>
      <c r="H31" s="5">
        <f>'[1]250423_vdt_these lisa_epx-imd'!T151</f>
        <v>0.30482697622996136</v>
      </c>
      <c r="I31" s="5">
        <f>'[1]250423_vdt_these lisa_epx-imd'!T255</f>
        <v>439.99614814814817</v>
      </c>
    </row>
    <row r="32" spans="1:9" x14ac:dyDescent="0.2">
      <c r="A32" t="s">
        <v>63</v>
      </c>
      <c r="B32" s="5" t="s">
        <v>71</v>
      </c>
      <c r="C32" s="5">
        <f>'[1]250423_vdt_these lisa_epx-imd'!T134</f>
        <v>1.2783483784687395</v>
      </c>
      <c r="D32" s="5">
        <f>'[1]250423_vdt_these lisa_epx-imd'!T238</f>
        <v>5.9388365095285849</v>
      </c>
      <c r="E32" s="2">
        <v>38</v>
      </c>
      <c r="F32" t="s">
        <v>64</v>
      </c>
      <c r="G32" s="5" t="s">
        <v>71</v>
      </c>
      <c r="H32" s="5">
        <f>'[1]250423_vdt_these lisa_epx-imd'!T152</f>
        <v>0.28165304268846492</v>
      </c>
      <c r="I32" s="5">
        <f>'[1]250423_vdt_these lisa_epx-imd'!T256</f>
        <v>669.08104450499536</v>
      </c>
    </row>
    <row r="33" spans="1:9" x14ac:dyDescent="0.2">
      <c r="A33" t="s">
        <v>65</v>
      </c>
      <c r="B33" s="5" t="s">
        <v>71</v>
      </c>
      <c r="C33" s="5">
        <f>'[1]250423_vdt_these lisa_epx-imd'!T135</f>
        <v>1.1171684705367879</v>
      </c>
      <c r="D33" s="5">
        <f>'[1]250423_vdt_these lisa_epx-imd'!T239</f>
        <v>4.9073925877336828</v>
      </c>
      <c r="E33" s="2">
        <v>38</v>
      </c>
      <c r="F33" t="s">
        <v>66</v>
      </c>
      <c r="G33" s="5" t="s">
        <v>71</v>
      </c>
      <c r="H33" s="5">
        <f>'[1]250423_vdt_these lisa_epx-imd'!T153</f>
        <v>0.2864272377814388</v>
      </c>
      <c r="I33" s="5">
        <f>'[1]250423_vdt_these lisa_epx-imd'!T257</f>
        <v>679.66252828116433</v>
      </c>
    </row>
    <row r="34" spans="1:9" x14ac:dyDescent="0.2">
      <c r="A34" t="s">
        <v>67</v>
      </c>
      <c r="B34" s="5" t="s">
        <v>71</v>
      </c>
      <c r="C34" s="5">
        <f>'[1]250423_vdt_these lisa_epx-imd'!T136</f>
        <v>0.63862318840579713</v>
      </c>
      <c r="D34" s="5">
        <f>'[1]250423_vdt_these lisa_epx-imd'!T240</f>
        <v>4.7480105401844535</v>
      </c>
      <c r="E34" s="2">
        <v>42</v>
      </c>
      <c r="F34" t="s">
        <v>68</v>
      </c>
      <c r="G34" s="5" t="s">
        <v>71</v>
      </c>
      <c r="H34" s="5">
        <f>'[1]250423_vdt_these lisa_epx-imd'!T154</f>
        <v>0.22171959386476559</v>
      </c>
      <c r="I34" s="5">
        <f>'[1]250423_vdt_these lisa_epx-imd'!T258</f>
        <v>612.90687405487142</v>
      </c>
    </row>
    <row r="35" spans="1:9" x14ac:dyDescent="0.2">
      <c r="A35" t="s">
        <v>69</v>
      </c>
      <c r="B35" s="5" t="s">
        <v>71</v>
      </c>
      <c r="C35" s="5">
        <f>'[1]250423_vdt_these lisa_epx-imd'!T137</f>
        <v>1.6766831955922865</v>
      </c>
      <c r="D35" s="5">
        <f>'[1]250423_vdt_these lisa_epx-imd'!T241</f>
        <v>5.8399977961432503</v>
      </c>
      <c r="E35" s="2">
        <v>42</v>
      </c>
      <c r="F35" t="s">
        <v>70</v>
      </c>
      <c r="G35" s="5" t="s">
        <v>71</v>
      </c>
      <c r="H35" s="5">
        <f>'[1]250423_vdt_these lisa_epx-imd'!T155</f>
        <v>0.19653116531165307</v>
      </c>
      <c r="I35" s="5">
        <f>'[1]250423_vdt_these lisa_epx-imd'!T259</f>
        <v>642.04813441734427</v>
      </c>
    </row>
    <row r="36" spans="1:9" x14ac:dyDescent="0.2">
      <c r="E36" s="2"/>
    </row>
    <row r="37" spans="1:9" x14ac:dyDescent="0.2">
      <c r="E37" s="2"/>
    </row>
  </sheetData>
  <mergeCells count="2">
    <mergeCell ref="B2:D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Delarue</dc:creator>
  <cp:lastModifiedBy>Lisa Gollot</cp:lastModifiedBy>
  <dcterms:created xsi:type="dcterms:W3CDTF">2025-05-23T09:28:17Z</dcterms:created>
  <dcterms:modified xsi:type="dcterms:W3CDTF">2025-05-28T11:23:34Z</dcterms:modified>
</cp:coreProperties>
</file>